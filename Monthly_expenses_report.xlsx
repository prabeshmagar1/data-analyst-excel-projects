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 Project\excell report\"/>
    </mc:Choice>
  </mc:AlternateContent>
  <xr:revisionPtr revIDLastSave="0" documentId="13_ncr:1_{57E37C0B-585B-4F9F-B289-04166BFD0D82}" xr6:coauthVersionLast="47" xr6:coauthVersionMax="47" xr10:uidLastSave="{00000000-0000-0000-0000-000000000000}"/>
  <bookViews>
    <workbookView xWindow="-108" yWindow="-108" windowWidth="23256" windowHeight="13176" firstSheet="1" activeTab="2" xr2:uid="{FE3117F6-A181-40A5-AE7D-47D92EEB2D82}"/>
  </bookViews>
  <sheets>
    <sheet name="data" sheetId="1" r:id="rId1"/>
    <sheet name="pivot" sheetId="2" r:id="rId2"/>
    <sheet name="Report" sheetId="4" r:id="rId3"/>
    <sheet name="dashboard" sheetId="3" r:id="rId4"/>
  </sheets>
  <definedNames>
    <definedName name="Slicer_category">#N/A</definedName>
  </definedNames>
  <calcPr calcId="18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<sst xmlns="http://schemas.openxmlformats.org/spreadsheetml/2006/main" count="182" uniqueCount="62">
  <si>
    <t xml:space="preserve">date </t>
  </si>
  <si>
    <t>category</t>
  </si>
  <si>
    <t>sub_category</t>
  </si>
  <si>
    <t xml:space="preserve">amount </t>
  </si>
  <si>
    <t>16/3/2082</t>
  </si>
  <si>
    <t>13/3/2082</t>
  </si>
  <si>
    <t>14/3/2082</t>
  </si>
  <si>
    <t>15/3/2082</t>
  </si>
  <si>
    <t>17/3/2082</t>
  </si>
  <si>
    <t>18/3/2082</t>
  </si>
  <si>
    <t>19/3/2082</t>
  </si>
  <si>
    <t>20/3/2082</t>
  </si>
  <si>
    <t>21/3/2082</t>
  </si>
  <si>
    <t>22/3/2082</t>
  </si>
  <si>
    <t>23/3/2082</t>
  </si>
  <si>
    <t>24/3/2082</t>
  </si>
  <si>
    <t>25/3/2082</t>
  </si>
  <si>
    <t>26/3/2082</t>
  </si>
  <si>
    <t>27/3/2082</t>
  </si>
  <si>
    <t>28/3/2082</t>
  </si>
  <si>
    <t>29/3/2082</t>
  </si>
  <si>
    <t>30/3/2082</t>
  </si>
  <si>
    <t>31/3/2082</t>
  </si>
  <si>
    <t xml:space="preserve">food </t>
  </si>
  <si>
    <t>essentials</t>
  </si>
  <si>
    <t>living expenses</t>
  </si>
  <si>
    <t>transporatation</t>
  </si>
  <si>
    <t>healthcare</t>
  </si>
  <si>
    <t>entertainment</t>
  </si>
  <si>
    <t>savings and investements</t>
  </si>
  <si>
    <t xml:space="preserve">gift and donations </t>
  </si>
  <si>
    <t>education</t>
  </si>
  <si>
    <t>food</t>
  </si>
  <si>
    <t>groceries</t>
  </si>
  <si>
    <t xml:space="preserve">daily </t>
  </si>
  <si>
    <t>housing</t>
  </si>
  <si>
    <t>public transport</t>
  </si>
  <si>
    <t>medical expneses</t>
  </si>
  <si>
    <t>leisure acvities</t>
  </si>
  <si>
    <t xml:space="preserve">emergency fund </t>
  </si>
  <si>
    <t>birthday gift</t>
  </si>
  <si>
    <t>school fees</t>
  </si>
  <si>
    <t xml:space="preserve">retirement saving </t>
  </si>
  <si>
    <t xml:space="preserve">dining out </t>
  </si>
  <si>
    <t>charitable donations</t>
  </si>
  <si>
    <t xml:space="preserve">car expenses </t>
  </si>
  <si>
    <t>subscriptions</t>
  </si>
  <si>
    <t>other saving goals</t>
  </si>
  <si>
    <t xml:space="preserve">household supplies </t>
  </si>
  <si>
    <t>books</t>
  </si>
  <si>
    <t>utilities</t>
  </si>
  <si>
    <t>e-sewa</t>
  </si>
  <si>
    <t>khalti</t>
  </si>
  <si>
    <t>banking</t>
  </si>
  <si>
    <t>Column1</t>
  </si>
  <si>
    <t>Grand Total</t>
  </si>
  <si>
    <t xml:space="preserve">Sum of amount </t>
  </si>
  <si>
    <t>Payment_method</t>
  </si>
  <si>
    <t>payment_method</t>
  </si>
  <si>
    <t>Date</t>
  </si>
  <si>
    <t>Report of the Monlthy expenese</t>
  </si>
  <si>
    <r>
      <t xml:space="preserve">From the above data visualiation digagram 
we can find that </t>
    </r>
    <r>
      <rPr>
        <sz val="11"/>
        <color theme="9" tint="-0.499984740745262"/>
        <rFont val="Calibri"/>
        <family val="2"/>
        <scheme val="minor"/>
      </rPr>
      <t>most</t>
    </r>
    <r>
      <rPr>
        <sz val="11"/>
        <color theme="1"/>
        <rFont val="Calibri"/>
        <family val="2"/>
        <scheme val="minor"/>
      </rPr>
      <t xml:space="preserve"> expenses are in the food and living expenses based on the amount of the money spend, least expenses are in the essentials and gift and donations. Around 60% expenses are used the payment method banking, around the 35% are used the payment method e-sewa and remaining are performed by khalti. most sub-category expenses are performed in the groceries and least in the charitable, mos expenses are done in the 1/3/2082, 3/3/2082 and least in the 4/3/2082.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</si>
</sst>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sz val="11"/>
      <color theme="5"/>
      <name val="Calibri"/>
      <family val="2"/>
      <scheme val="minor"/>
    </font>
    <font>
      <sz val="11"/>
      <color theme="9" tint="-0.499984740745262"/>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5" tint="-0.249977111117893"/>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14" fontId="0" fillId="0" borderId="0" xfId="0" applyNumberFormat="1"/>
    <xf numFmtId="0" fontId="0" fillId="0" borderId="0" xfId="1"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xf>
    <xf numFmtId="0" fontId="2" fillId="2" borderId="0" xfId="0" applyFont="1" applyFill="1" applyAlignment="1">
      <alignment horizontal="center"/>
    </xf>
    <xf numFmtId="0" fontId="0" fillId="0" borderId="0" xfId="0" applyNumberFormat="1"/>
    <xf numFmtId="0" fontId="0" fillId="3" borderId="0" xfId="0" applyFill="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[Monthly_expenses_report.xlsx]pivot!PivotTable9</c:name>
    <c:fmtId val="11"/>
  </c:pivotSource>
  <c:chart>
    <c:title>
      <c:tx>
        <c:rich>
          <a:bodyPr/>
          <a:lstStyle/>
          <a:p>
            <a:pPr>
              <a:defRPr/>
            </a:pPr>
            <a:r>
              <a:rPr lang="en-US" sz="1400"/>
              <a:t>Expenses</a:t>
            </a:r>
            <a:r>
              <a:rPr lang="en-US" sz="1400" baseline="0"/>
              <a:t> Based on Category</a:t>
            </a:r>
            <a:endParaRPr lang="en-US" sz="14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1332202259249"/>
          <c:y val="0.12567959215741048"/>
          <c:w val="0.81573606821246791"/>
          <c:h val="0.54297856614929796"/>
        </c:manualLayout>
      </c:layout>
      <c:barChart>
        <c:barDir val="col"/>
        <c:grouping val="clustered"/>
        <c:varyColors val="0"/>
        <c:ser>
          <c:idx val="0"/>
          <c:order val="0"/>
          <c:tx>
            <c:strRef>
              <c:f>pivot!$B$2</c:f>
              <c:strCache>
                <c:ptCount val="1"/>
                <c:pt idx="0">
                  <c:v>Total</c:v>
                </c:pt>
              </c:strCache>
            </c:strRef>
          </c:tx>
          <c:spPr>
            <a:solidFill>
              <a:schemeClr val="accent6"/>
            </a:solidFill>
            <a:ln>
              <a:solidFill>
                <a:srgbClr val="00B05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pivot!$A$3:$A$13</c:f>
              <c:strCache>
                <c:ptCount val="10"/>
                <c:pt idx="0">
                  <c:v>education</c:v>
                </c:pt>
                <c:pt idx="1">
                  <c:v>entertainment</c:v>
                </c:pt>
                <c:pt idx="2">
                  <c:v>essentials</c:v>
                </c:pt>
                <c:pt idx="3">
                  <c:v>food</c:v>
                </c:pt>
                <c:pt idx="4">
                  <c:v>food </c:v>
                </c:pt>
                <c:pt idx="5">
                  <c:v>gift and donations </c:v>
                </c:pt>
                <c:pt idx="6">
                  <c:v>healthcare</c:v>
                </c:pt>
                <c:pt idx="7">
                  <c:v>living expenses</c:v>
                </c:pt>
                <c:pt idx="8">
                  <c:v>savings and investements</c:v>
                </c:pt>
                <c:pt idx="9">
                  <c:v>transporatation</c:v>
                </c:pt>
              </c:strCache>
            </c:strRef>
          </c:cat>
          <c:val>
            <c:numRef>
              <c:f>pivot!$B$3:$B$13</c:f>
              <c:numCache>
                <c:formatCode>General</c:formatCode>
                <c:ptCount val="10"/>
                <c:pt idx="0">
                  <c:v>6000</c:v>
                </c:pt>
                <c:pt idx="1">
                  <c:v>3000</c:v>
                </c:pt>
                <c:pt idx="2">
                  <c:v>700</c:v>
                </c:pt>
                <c:pt idx="3">
                  <c:v>7000</c:v>
                </c:pt>
                <c:pt idx="4">
                  <c:v>17300</c:v>
                </c:pt>
                <c:pt idx="5">
                  <c:v>1800</c:v>
                </c:pt>
                <c:pt idx="6">
                  <c:v>5500</c:v>
                </c:pt>
                <c:pt idx="7">
                  <c:v>18000</c:v>
                </c:pt>
                <c:pt idx="8">
                  <c:v>8000</c:v>
                </c:pt>
                <c:pt idx="9">
                  <c:v>5320</c:v>
                </c:pt>
              </c:numCache>
            </c:numRef>
          </c:val>
          <c:extLst>
            <c:ext xmlns:c16="http://schemas.microsoft.com/office/drawing/2014/chart" uri="{C3380CC4-5D6E-409C-BE32-E72D297353CC}">
              <c16:uniqueId val="{00000006-1B24-4FBA-A532-6F6421BE0288}"/>
            </c:ext>
          </c:extLst>
        </c:ser>
        <c:dLbls>
          <c:dLblPos val="outEnd"/>
          <c:showLegendKey val="0"/>
          <c:showVal val="1"/>
          <c:showCatName val="0"/>
          <c:showSerName val="0"/>
          <c:showPercent val="0"/>
          <c:showBubbleSize val="0"/>
        </c:dLbls>
        <c:gapWidth val="99"/>
        <c:overlap val="14"/>
        <c:axId val="112782944"/>
        <c:axId val="112772864"/>
      </c:barChart>
      <c:catAx>
        <c:axId val="112782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solidFill>
                    <a:latin typeface="+mn-lt"/>
                    <a:ea typeface="+mn-ea"/>
                    <a:cs typeface="+mn-cs"/>
                  </a:defRPr>
                </a:pPr>
                <a:r>
                  <a:rPr lang="en-US"/>
                  <a:t>Category</a:t>
                </a:r>
              </a:p>
            </c:rich>
          </c:tx>
          <c:layout>
            <c:manualLayout>
              <c:xMode val="edge"/>
              <c:yMode val="edge"/>
              <c:x val="0.45857423036208877"/>
              <c:y val="0.91669692895926813"/>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12772864"/>
        <c:crosses val="autoZero"/>
        <c:auto val="1"/>
        <c:lblAlgn val="ctr"/>
        <c:lblOffset val="100"/>
        <c:noMultiLvlLbl val="0"/>
      </c:catAx>
      <c:valAx>
        <c:axId val="112772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solidFill>
                    <a:latin typeface="+mn-lt"/>
                    <a:ea typeface="+mn-ea"/>
                    <a:cs typeface="+mn-cs"/>
                  </a:defRPr>
                </a:pPr>
                <a:r>
                  <a:rPr lang="en-US"/>
                  <a:t>Amount</a:t>
                </a:r>
              </a:p>
            </c:rich>
          </c:tx>
          <c:layout>
            <c:manualLayout>
              <c:xMode val="edge"/>
              <c:yMode val="edge"/>
              <c:x val="1.1426784268788832E-2"/>
              <c:y val="0.31670965136802065"/>
            </c:manualLayout>
          </c:layout>
          <c:overlay val="0"/>
          <c:spPr>
            <a:noFill/>
            <a:ln>
              <a:noFill/>
            </a:ln>
            <a:effectLst/>
          </c:spPr>
        </c:title>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12782944"/>
        <c:crosses val="autoZero"/>
        <c:crossBetween val="between"/>
      </c:valAx>
      <c:spPr>
        <a:ln>
          <a:solidFill>
            <a:srgbClr val="C00000"/>
          </a:solidFill>
        </a:ln>
      </c:spPr>
    </c:plotArea>
    <c:legend>
      <c:legendPos val="r"/>
      <c:layout>
        <c:manualLayout>
          <c:xMode val="edge"/>
          <c:yMode val="edge"/>
          <c:x val="0.88511350618465512"/>
          <c:y val="0.8591605955797581"/>
          <c:w val="7.6561399451236814E-2"/>
          <c:h val="6.9789570348371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rgbClr val="C00000"/>
      </a:solidFill>
      <a:round/>
    </a:ln>
    <a:effectLst/>
  </c:spPr>
  <c:txPr>
    <a:bodyPr/>
    <a:lstStyle/>
    <a:p>
      <a:pPr>
        <a:defRPr>
          <a:solidFill>
            <a:schemeClr val="accent6"/>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[Monthly_expenses_report.xlsx]pivot!PivotTable5</c:name>
    <c:fmtId val="3"/>
  </c:pivotSource>
  <c:chart>
    <c:title>
      <c:tx>
        <c:rich>
          <a:bodyPr/>
          <a:lstStyle/>
          <a:p>
            <a:pPr>
              <a:defRPr/>
            </a:pPr>
            <a:r>
              <a:rPr lang="en-US" sz="1400"/>
              <a:t>Expneses</a:t>
            </a:r>
            <a:r>
              <a:rPr lang="en-US" sz="1400" baseline="0"/>
              <a:t> Based on Date</a:t>
            </a:r>
            <a:endParaRPr lang="en-US" sz="1400"/>
          </a:p>
        </c:rich>
      </c:tx>
      <c:layout>
        <c:manualLayout>
          <c:xMode val="edge"/>
          <c:yMode val="edge"/>
          <c:x val="0.31317331557120315"/>
          <c:y val="3.1093235647702316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a:solidFill>
              <a:srgbClr val="00B050"/>
            </a:solid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881755527530795"/>
          <c:y val="0.12877731575687867"/>
          <c:w val="0.87197412066425761"/>
          <c:h val="0.63785720605149077"/>
        </c:manualLayout>
      </c:layout>
      <c:lineChart>
        <c:grouping val="standard"/>
        <c:varyColors val="0"/>
        <c:ser>
          <c:idx val="0"/>
          <c:order val="0"/>
          <c:tx>
            <c:strRef>
              <c:f>pivot!$E$2</c:f>
              <c:strCache>
                <c:ptCount val="1"/>
                <c:pt idx="0">
                  <c:v>Total</c:v>
                </c:pt>
              </c:strCache>
            </c:strRef>
          </c:tx>
          <c:spPr>
            <a:ln>
              <a:solidFill>
                <a:srgbClr val="00B050"/>
              </a:solidFill>
            </a:ln>
            <a:effectLst/>
          </c:spPr>
          <c:marker>
            <c:symbol val="none"/>
          </c:marker>
          <c:trendline>
            <c:trendlineType val="movingAvg"/>
            <c:period val="2"/>
            <c:dispRSqr val="0"/>
            <c:dispEq val="0"/>
          </c:trendline>
          <c:cat>
            <c:strRef>
              <c:f>pivot!$D$3:$D$34</c:f>
              <c:strCache>
                <c:ptCount val="31"/>
                <c:pt idx="0">
                  <c:v>13/3/2082</c:v>
                </c:pt>
                <c:pt idx="1">
                  <c:v>14/3/2082</c:v>
                </c:pt>
                <c:pt idx="2">
                  <c:v>15/3/2082</c:v>
                </c:pt>
                <c:pt idx="3">
                  <c:v>16/3/2082</c:v>
                </c:pt>
                <c:pt idx="4">
                  <c:v>17/3/2082</c:v>
                </c:pt>
                <c:pt idx="5">
                  <c:v>18/3/2082</c:v>
                </c:pt>
                <c:pt idx="6">
                  <c:v>19/3/2082</c:v>
                </c:pt>
                <c:pt idx="7">
                  <c:v>20/3/2082</c:v>
                </c:pt>
                <c:pt idx="8">
                  <c:v>21/3/2082</c:v>
                </c:pt>
                <c:pt idx="9">
                  <c:v>22/3/2082</c:v>
                </c:pt>
                <c:pt idx="10">
                  <c:v>23/3/2082</c:v>
                </c:pt>
                <c:pt idx="11">
                  <c:v>24/3/2082</c:v>
                </c:pt>
                <c:pt idx="12">
                  <c:v>25/3/2082</c:v>
                </c:pt>
                <c:pt idx="13">
                  <c:v>26/3/2082</c:v>
                </c:pt>
                <c:pt idx="14">
                  <c:v>27/3/2082</c:v>
                </c:pt>
                <c:pt idx="15">
                  <c:v>28/3/2082</c:v>
                </c:pt>
                <c:pt idx="16">
                  <c:v>29/3/2082</c:v>
                </c:pt>
                <c:pt idx="17">
                  <c:v>30/3/2082</c:v>
                </c:pt>
                <c:pt idx="18">
                  <c:v>31/3/2082</c:v>
                </c:pt>
                <c:pt idx="19">
                  <c:v>1/3/2082</c:v>
                </c:pt>
                <c:pt idx="20">
                  <c:v>2/3/2082</c:v>
                </c:pt>
                <c:pt idx="21">
                  <c:v>3/3/2082</c:v>
                </c:pt>
                <c:pt idx="22">
                  <c:v>4/3/2082</c:v>
                </c:pt>
                <c:pt idx="23">
                  <c:v>5/3/2082</c:v>
                </c:pt>
                <c:pt idx="24">
                  <c:v>6/3/2082</c:v>
                </c:pt>
                <c:pt idx="25">
                  <c:v>7/3/2082</c:v>
                </c:pt>
                <c:pt idx="26">
                  <c:v>8/3/2082</c:v>
                </c:pt>
                <c:pt idx="27">
                  <c:v>9/3/2082</c:v>
                </c:pt>
                <c:pt idx="28">
                  <c:v>10/3/2082</c:v>
                </c:pt>
                <c:pt idx="29">
                  <c:v>11/3/2082</c:v>
                </c:pt>
                <c:pt idx="30">
                  <c:v>12/3/2082</c:v>
                </c:pt>
              </c:strCache>
            </c:strRef>
          </c:cat>
          <c:val>
            <c:numRef>
              <c:f>pivot!$E$3:$E$34</c:f>
              <c:numCache>
                <c:formatCode>General</c:formatCode>
                <c:ptCount val="31"/>
                <c:pt idx="0">
                  <c:v>300</c:v>
                </c:pt>
                <c:pt idx="1">
                  <c:v>3000</c:v>
                </c:pt>
                <c:pt idx="2">
                  <c:v>5000</c:v>
                </c:pt>
                <c:pt idx="3">
                  <c:v>300</c:v>
                </c:pt>
                <c:pt idx="4">
                  <c:v>1000</c:v>
                </c:pt>
                <c:pt idx="5">
                  <c:v>1000</c:v>
                </c:pt>
                <c:pt idx="6">
                  <c:v>3000</c:v>
                </c:pt>
                <c:pt idx="7">
                  <c:v>2000</c:v>
                </c:pt>
                <c:pt idx="8">
                  <c:v>1500</c:v>
                </c:pt>
                <c:pt idx="9">
                  <c:v>2000</c:v>
                </c:pt>
                <c:pt idx="10">
                  <c:v>500</c:v>
                </c:pt>
                <c:pt idx="11">
                  <c:v>2300</c:v>
                </c:pt>
                <c:pt idx="12">
                  <c:v>1000</c:v>
                </c:pt>
                <c:pt idx="13">
                  <c:v>1000</c:v>
                </c:pt>
                <c:pt idx="14">
                  <c:v>3000</c:v>
                </c:pt>
                <c:pt idx="15">
                  <c:v>2000</c:v>
                </c:pt>
                <c:pt idx="16">
                  <c:v>4000</c:v>
                </c:pt>
                <c:pt idx="17">
                  <c:v>1000</c:v>
                </c:pt>
                <c:pt idx="18">
                  <c:v>5000</c:v>
                </c:pt>
                <c:pt idx="19">
                  <c:v>10000</c:v>
                </c:pt>
                <c:pt idx="20">
                  <c:v>200</c:v>
                </c:pt>
                <c:pt idx="21">
                  <c:v>10000</c:v>
                </c:pt>
                <c:pt idx="22">
                  <c:v>20</c:v>
                </c:pt>
                <c:pt idx="23">
                  <c:v>1000</c:v>
                </c:pt>
                <c:pt idx="24">
                  <c:v>1000</c:v>
                </c:pt>
                <c:pt idx="25">
                  <c:v>1000</c:v>
                </c:pt>
                <c:pt idx="26">
                  <c:v>1000</c:v>
                </c:pt>
                <c:pt idx="27">
                  <c:v>5000</c:v>
                </c:pt>
                <c:pt idx="28">
                  <c:v>500</c:v>
                </c:pt>
                <c:pt idx="29">
                  <c:v>2000</c:v>
                </c:pt>
                <c:pt idx="30">
                  <c:v>2000</c:v>
                </c:pt>
              </c:numCache>
            </c:numRef>
          </c:val>
          <c:smooth val="0"/>
          <c:extLst>
            <c:ext xmlns:c16="http://schemas.microsoft.com/office/drawing/2014/chart" uri="{C3380CC4-5D6E-409C-BE32-E72D297353CC}">
              <c16:uniqueId val="{00000002-143E-41ED-ADF7-40003BB0A1C1}"/>
            </c:ext>
          </c:extLst>
        </c:ser>
        <c:dLbls>
          <c:showLegendKey val="0"/>
          <c:showVal val="0"/>
          <c:showCatName val="0"/>
          <c:showSerName val="0"/>
          <c:showPercent val="0"/>
          <c:showBubbleSize val="0"/>
        </c:dLbls>
        <c:smooth val="0"/>
        <c:axId val="112782944"/>
        <c:axId val="112772864"/>
      </c:lineChart>
      <c:catAx>
        <c:axId val="112782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solidFill>
                    <a:latin typeface="+mn-lt"/>
                    <a:ea typeface="+mn-ea"/>
                    <a:cs typeface="+mn-cs"/>
                  </a:defRPr>
                </a:pPr>
                <a:r>
                  <a:rPr lang="en-US"/>
                  <a:t>Category</a:t>
                </a:r>
              </a:p>
            </c:rich>
          </c:tx>
          <c:layout>
            <c:manualLayout>
              <c:xMode val="edge"/>
              <c:yMode val="edge"/>
              <c:x val="0.4463809200835091"/>
              <c:y val="0.931927511870005"/>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12772864"/>
        <c:crosses val="autoZero"/>
        <c:auto val="1"/>
        <c:lblAlgn val="ctr"/>
        <c:lblOffset val="100"/>
        <c:noMultiLvlLbl val="0"/>
      </c:catAx>
      <c:valAx>
        <c:axId val="112772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solidFill>
                    <a:latin typeface="+mn-lt"/>
                    <a:ea typeface="+mn-ea"/>
                    <a:cs typeface="+mn-cs"/>
                  </a:defRPr>
                </a:pPr>
                <a:r>
                  <a:rPr lang="en-US"/>
                  <a:t>Amount</a:t>
                </a:r>
              </a:p>
            </c:rich>
          </c:tx>
          <c:layout>
            <c:manualLayout>
              <c:xMode val="edge"/>
              <c:yMode val="edge"/>
              <c:x val="7.7462869070149629E-3"/>
              <c:y val="0.32125895779881447"/>
            </c:manualLayout>
          </c:layout>
          <c:overlay val="0"/>
          <c:spPr>
            <a:noFill/>
            <a:ln>
              <a:noFill/>
            </a:ln>
            <a:effectLst/>
          </c:spPr>
        </c:title>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12782944"/>
        <c:crosses val="autoZero"/>
        <c:crossBetween val="between"/>
      </c:valAx>
      <c:spPr>
        <a:ln>
          <a:solidFill>
            <a:srgbClr val="FF0000"/>
          </a:solidFill>
        </a:ln>
      </c:spPr>
    </c:plotArea>
    <c:legend>
      <c:legendPos val="r"/>
      <c:layout>
        <c:manualLayout>
          <c:xMode val="edge"/>
          <c:yMode val="edge"/>
          <c:x val="0.88751503324332293"/>
          <c:y val="3.5190657347606881E-2"/>
          <c:w val="0.11248503089199988"/>
          <c:h val="0.129214367866937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rgbClr val="FF0000"/>
      </a:solidFill>
      <a:round/>
    </a:ln>
    <a:effectLst/>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[Monthly_expenses_report.xlsx]pivot!PivotTable6</c:name>
    <c:fmtId val="3"/>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US" b="1"/>
              <a:t>Total</a:t>
            </a:r>
            <a:r>
              <a:rPr lang="en-US" b="1" baseline="0"/>
              <a:t> expenses based on payment_method</a:t>
            </a:r>
            <a:endParaRPr lang="en-US" b="1"/>
          </a:p>
        </c:rich>
      </c:tx>
      <c:layout>
        <c:manualLayout>
          <c:xMode val="edge"/>
          <c:yMode val="edge"/>
          <c:x val="0.26881805803481795"/>
          <c:y val="2.4161417322834645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solidFill>
              <a:srgbClr val="00B050"/>
            </a:solidFill>
          </a:ln>
          <a:effectLst/>
        </c:spPr>
      </c:pivotFmt>
      <c:pivotFmt>
        <c:idx val="7"/>
        <c:spPr>
          <a:solidFill>
            <a:schemeClr val="accent2"/>
          </a:solidFill>
          <a:ln>
            <a:solidFill>
              <a:srgbClr val="00B050"/>
            </a:solidFill>
          </a:ln>
          <a:effectLst/>
        </c:spPr>
      </c:pivotFmt>
      <c:pivotFmt>
        <c:idx val="8"/>
        <c:spPr>
          <a:solidFill>
            <a:srgbClr val="FFFF00"/>
          </a:solidFill>
          <a:ln>
            <a:solidFill>
              <a:srgbClr val="00B050"/>
            </a:solidFill>
          </a:ln>
          <a:effectLst/>
        </c:spPr>
      </c:pivotFmt>
    </c:pivotFmts>
    <c:plotArea>
      <c:layout>
        <c:manualLayout>
          <c:layoutTarget val="inner"/>
          <c:xMode val="edge"/>
          <c:yMode val="edge"/>
          <c:x val="9.5984473148721564E-2"/>
          <c:y val="0.17660542432195978"/>
          <c:w val="0.40328507918251794"/>
          <c:h val="0.79760826771653548"/>
        </c:manualLayout>
      </c:layout>
      <c:pieChart>
        <c:varyColors val="1"/>
        <c:ser>
          <c:idx val="0"/>
          <c:order val="0"/>
          <c:tx>
            <c:strRef>
              <c:f>pivot!$B$17</c:f>
              <c:strCache>
                <c:ptCount val="1"/>
                <c:pt idx="0">
                  <c:v>Total</c:v>
                </c:pt>
              </c:strCache>
            </c:strRef>
          </c:tx>
          <c:spPr>
            <a:solidFill>
              <a:srgbClr val="FFC000"/>
            </a:solidFill>
            <a:ln>
              <a:solidFill>
                <a:srgbClr val="00B050"/>
              </a:solidFill>
            </a:ln>
            <a:effectLst/>
          </c:spPr>
          <c:dPt>
            <c:idx val="0"/>
            <c:bubble3D val="0"/>
            <c:explosion val="7"/>
            <c:spPr>
              <a:solidFill>
                <a:srgbClr val="00B050"/>
              </a:solidFill>
              <a:ln>
                <a:solidFill>
                  <a:srgbClr val="00B050"/>
                </a:solidFill>
              </a:ln>
              <a:effectLst/>
            </c:spPr>
            <c:extLst>
              <c:ext xmlns:c16="http://schemas.microsoft.com/office/drawing/2014/chart" uri="{C3380CC4-5D6E-409C-BE32-E72D297353CC}">
                <c16:uniqueId val="{0000000B-A743-4F2F-823B-B7D1F5689A89}"/>
              </c:ext>
            </c:extLst>
          </c:dPt>
          <c:dPt>
            <c:idx val="1"/>
            <c:bubble3D val="0"/>
            <c:explosion val="6"/>
            <c:spPr>
              <a:solidFill>
                <a:srgbClr val="FFFF00"/>
              </a:solidFill>
              <a:ln>
                <a:solidFill>
                  <a:srgbClr val="00B050"/>
                </a:solidFill>
              </a:ln>
              <a:effectLst/>
            </c:spPr>
            <c:extLst>
              <c:ext xmlns:c16="http://schemas.microsoft.com/office/drawing/2014/chart" uri="{C3380CC4-5D6E-409C-BE32-E72D297353CC}">
                <c16:uniqueId val="{00000009-A743-4F2F-823B-B7D1F5689A89}"/>
              </c:ext>
            </c:extLst>
          </c:dPt>
          <c:dPt>
            <c:idx val="2"/>
            <c:bubble3D val="0"/>
            <c:spPr>
              <a:solidFill>
                <a:schemeClr val="accent2"/>
              </a:solidFill>
              <a:ln>
                <a:solidFill>
                  <a:srgbClr val="00B050"/>
                </a:solidFill>
              </a:ln>
              <a:effectLst/>
            </c:spPr>
            <c:extLst>
              <c:ext xmlns:c16="http://schemas.microsoft.com/office/drawing/2014/chart" uri="{C3380CC4-5D6E-409C-BE32-E72D297353CC}">
                <c16:uniqueId val="{0000000A-A743-4F2F-823B-B7D1F5689A89}"/>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pivot!$A$18:$A$21</c:f>
              <c:strCache>
                <c:ptCount val="3"/>
                <c:pt idx="0">
                  <c:v>banking</c:v>
                </c:pt>
                <c:pt idx="1">
                  <c:v>e-sewa</c:v>
                </c:pt>
                <c:pt idx="2">
                  <c:v>khalti</c:v>
                </c:pt>
              </c:strCache>
            </c:strRef>
          </c:cat>
          <c:val>
            <c:numRef>
              <c:f>pivot!$B$18:$B$21</c:f>
              <c:numCache>
                <c:formatCode>General</c:formatCode>
                <c:ptCount val="3"/>
                <c:pt idx="0">
                  <c:v>44000</c:v>
                </c:pt>
                <c:pt idx="1">
                  <c:v>23020</c:v>
                </c:pt>
                <c:pt idx="2">
                  <c:v>5600</c:v>
                </c:pt>
              </c:numCache>
            </c:numRef>
          </c:val>
          <c:extLst>
            <c:ext xmlns:c16="http://schemas.microsoft.com/office/drawing/2014/chart" uri="{C3380CC4-5D6E-409C-BE32-E72D297353CC}">
              <c16:uniqueId val="{00000008-A743-4F2F-823B-B7D1F5689A89}"/>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8266526019690577"/>
          <c:y val="0.4671402012248469"/>
          <c:w val="0.2962376933895921"/>
          <c:h val="0.20442060367454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accent2"/>
      </a:solidFill>
      <a:round/>
    </a:ln>
    <a:effectLst/>
  </c:spPr>
  <c:txPr>
    <a:bodyPr/>
    <a:lstStyle/>
    <a:p>
      <a:pPr>
        <a:defRPr>
          <a:solidFill>
            <a:schemeClr val="accent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[Monthly_expenses_report.xlsx]pivot!PivotTable10</c:name>
    <c:fmtId val="8"/>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US" b="1"/>
              <a:t>Expenses</a:t>
            </a:r>
            <a:r>
              <a:rPr lang="en-US" b="1" baseline="0"/>
              <a:t> Based on Sub_category</a:t>
            </a:r>
            <a:endParaRPr lang="en-US" b="1"/>
          </a:p>
        </c:rich>
      </c:tx>
      <c:layout>
        <c:manualLayout>
          <c:xMode val="edge"/>
          <c:yMode val="edge"/>
          <c:x val="0.2826365162298638"/>
          <c:y val="2.005692216512638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3966935535496"/>
          <c:y val="0.12567959215741048"/>
          <c:w val="0.785809733037514"/>
          <c:h val="0.54297856614929796"/>
        </c:manualLayout>
      </c:layout>
      <c:barChart>
        <c:barDir val="col"/>
        <c:grouping val="clustered"/>
        <c:varyColors val="0"/>
        <c:ser>
          <c:idx val="0"/>
          <c:order val="0"/>
          <c:tx>
            <c:strRef>
              <c:f>pivot!$B$25</c:f>
              <c:strCache>
                <c:ptCount val="1"/>
                <c:pt idx="0">
                  <c:v>Total</c:v>
                </c:pt>
              </c:strCache>
            </c:strRef>
          </c:tx>
          <c:spPr>
            <a:solidFill>
              <a:schemeClr val="accent6"/>
            </a:solidFill>
            <a:ln>
              <a:solidFill>
                <a:srgbClr val="00B05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pivot!$A$26:$A$44</c:f>
              <c:strCache>
                <c:ptCount val="18"/>
                <c:pt idx="0">
                  <c:v>birthday gift</c:v>
                </c:pt>
                <c:pt idx="1">
                  <c:v>books</c:v>
                </c:pt>
                <c:pt idx="2">
                  <c:v>car expenses </c:v>
                </c:pt>
                <c:pt idx="3">
                  <c:v>charitable donations</c:v>
                </c:pt>
                <c:pt idx="4">
                  <c:v>daily </c:v>
                </c:pt>
                <c:pt idx="5">
                  <c:v>dining out </c:v>
                </c:pt>
                <c:pt idx="6">
                  <c:v>emergency fund </c:v>
                </c:pt>
                <c:pt idx="7">
                  <c:v>groceries</c:v>
                </c:pt>
                <c:pt idx="8">
                  <c:v>household supplies </c:v>
                </c:pt>
                <c:pt idx="9">
                  <c:v>housing</c:v>
                </c:pt>
                <c:pt idx="10">
                  <c:v>leisure acvities</c:v>
                </c:pt>
                <c:pt idx="11">
                  <c:v>medical expneses</c:v>
                </c:pt>
                <c:pt idx="12">
                  <c:v>other saving goals</c:v>
                </c:pt>
                <c:pt idx="13">
                  <c:v>public transport</c:v>
                </c:pt>
                <c:pt idx="14">
                  <c:v>retirement saving </c:v>
                </c:pt>
                <c:pt idx="15">
                  <c:v>school fees</c:v>
                </c:pt>
                <c:pt idx="16">
                  <c:v>subscriptions</c:v>
                </c:pt>
                <c:pt idx="17">
                  <c:v>utilities</c:v>
                </c:pt>
              </c:strCache>
            </c:strRef>
          </c:cat>
          <c:val>
            <c:numRef>
              <c:f>pivot!$B$26:$B$44</c:f>
              <c:numCache>
                <c:formatCode>General</c:formatCode>
                <c:ptCount val="18"/>
                <c:pt idx="0">
                  <c:v>1500</c:v>
                </c:pt>
                <c:pt idx="1">
                  <c:v>1000</c:v>
                </c:pt>
                <c:pt idx="2">
                  <c:v>10000</c:v>
                </c:pt>
                <c:pt idx="3">
                  <c:v>300</c:v>
                </c:pt>
                <c:pt idx="4">
                  <c:v>700</c:v>
                </c:pt>
                <c:pt idx="5">
                  <c:v>11300</c:v>
                </c:pt>
                <c:pt idx="6">
                  <c:v>3000</c:v>
                </c:pt>
                <c:pt idx="7">
                  <c:v>13000</c:v>
                </c:pt>
                <c:pt idx="8">
                  <c:v>2000</c:v>
                </c:pt>
                <c:pt idx="9">
                  <c:v>10000</c:v>
                </c:pt>
                <c:pt idx="10">
                  <c:v>2000</c:v>
                </c:pt>
                <c:pt idx="11">
                  <c:v>5500</c:v>
                </c:pt>
                <c:pt idx="12">
                  <c:v>1000</c:v>
                </c:pt>
                <c:pt idx="13">
                  <c:v>320</c:v>
                </c:pt>
                <c:pt idx="14">
                  <c:v>4000</c:v>
                </c:pt>
                <c:pt idx="15">
                  <c:v>5000</c:v>
                </c:pt>
                <c:pt idx="16">
                  <c:v>1000</c:v>
                </c:pt>
                <c:pt idx="17">
                  <c:v>1000</c:v>
                </c:pt>
              </c:numCache>
            </c:numRef>
          </c:val>
          <c:extLst>
            <c:ext xmlns:c16="http://schemas.microsoft.com/office/drawing/2014/chart" uri="{C3380CC4-5D6E-409C-BE32-E72D297353CC}">
              <c16:uniqueId val="{00000002-C398-411B-9CCE-4C72EA1182C8}"/>
            </c:ext>
          </c:extLst>
        </c:ser>
        <c:dLbls>
          <c:dLblPos val="outEnd"/>
          <c:showLegendKey val="0"/>
          <c:showVal val="1"/>
          <c:showCatName val="0"/>
          <c:showSerName val="0"/>
          <c:showPercent val="0"/>
          <c:showBubbleSize val="0"/>
        </c:dLbls>
        <c:gapWidth val="99"/>
        <c:overlap val="14"/>
        <c:axId val="112782944"/>
        <c:axId val="112772864"/>
      </c:barChart>
      <c:catAx>
        <c:axId val="112782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solidFill>
                    <a:latin typeface="+mn-lt"/>
                    <a:ea typeface="+mn-ea"/>
                    <a:cs typeface="+mn-cs"/>
                  </a:defRPr>
                </a:pPr>
                <a:r>
                  <a:rPr lang="en-US"/>
                  <a:t>Sub_Category</a:t>
                </a:r>
              </a:p>
            </c:rich>
          </c:tx>
          <c:layout>
            <c:manualLayout>
              <c:xMode val="edge"/>
              <c:yMode val="edge"/>
              <c:x val="0.45857423036208877"/>
              <c:y val="0.91669692895926813"/>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12772864"/>
        <c:crosses val="autoZero"/>
        <c:auto val="1"/>
        <c:lblAlgn val="ctr"/>
        <c:lblOffset val="100"/>
        <c:noMultiLvlLbl val="0"/>
      </c:catAx>
      <c:valAx>
        <c:axId val="112772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solidFill>
                    <a:latin typeface="+mn-lt"/>
                    <a:ea typeface="+mn-ea"/>
                    <a:cs typeface="+mn-cs"/>
                  </a:defRPr>
                </a:pPr>
                <a:r>
                  <a:rPr lang="en-US"/>
                  <a:t>Amount</a:t>
                </a:r>
              </a:p>
            </c:rich>
          </c:tx>
          <c:layout>
            <c:manualLayout>
              <c:xMode val="edge"/>
              <c:yMode val="edge"/>
              <c:x val="1.1426784268788832E-2"/>
              <c:y val="0.31670965136802065"/>
            </c:manualLayout>
          </c:layout>
          <c:overlay val="0"/>
          <c:spPr>
            <a:noFill/>
            <a:ln>
              <a:noFill/>
            </a:ln>
            <a:effectLst/>
          </c:spPr>
        </c:title>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112782944"/>
        <c:crosses val="autoZero"/>
        <c:crossBetween val="between"/>
      </c:valAx>
      <c:spPr>
        <a:ln>
          <a:solidFill>
            <a:srgbClr val="C00000"/>
          </a:solidFill>
        </a:ln>
      </c:spPr>
    </c:plotArea>
    <c:legend>
      <c:legendPos val="r"/>
      <c:layout>
        <c:manualLayout>
          <c:xMode val="edge"/>
          <c:yMode val="edge"/>
          <c:x val="0.88511350618465512"/>
          <c:y val="0.8591605955797581"/>
          <c:w val="7.6561399451236814E-2"/>
          <c:h val="6.9789570348371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rgbClr val="C00000"/>
      </a:solidFill>
      <a:round/>
    </a:ln>
    <a:effectLst/>
  </c:spPr>
  <c:txPr>
    <a:bodyPr/>
    <a:lstStyle/>
    <a:p>
      <a:pPr>
        <a:defRPr>
          <a:solidFill>
            <a:schemeClr val="accent6"/>
          </a:solidFill>
        </a:defRPr>
      </a:pPr>
      <a:endParaRPr lang="en-US"/>
    </a:p>
  </c:tx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190500</xdr:colOff>
      <xdr:row>2</xdr:row>
      <xdr:rowOff>152400</xdr:rowOff>
    </xdr:from>
    <xdr:to>
      <xdr:col>14</xdr:col>
      <xdr:colOff>266700</xdr:colOff>
      <xdr:row>5</xdr:row>
      <xdr:rowOff>7620</xdr:rowOff>
    </xdr:to>
    <xdr:sp macro="" textlink="">
      <xdr:nvSpPr>
        <xdr:cNvPr id="5" name="TextBox 4">
          <a:extLst>
            <a:ext uri="{FF2B5EF4-FFF2-40B4-BE49-F238E27FC236}">
              <a16:creationId xmlns:a16="http://schemas.microsoft.com/office/drawing/2014/main" id="{7031D4F8-DD4B-6DC0-2153-D49CFC2EC952}"/>
            </a:ext>
          </a:extLst>
        </xdr:cNvPr>
        <xdr:cNvSpPr txBox="1"/>
      </xdr:nvSpPr>
      <xdr:spPr>
        <a:xfrm>
          <a:off x="3848100" y="518160"/>
          <a:ext cx="4953000" cy="403860"/>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Monthy Expenes</a:t>
          </a:r>
          <a:r>
            <a:rPr lang="en-US" sz="2000" b="1" baseline="0">
              <a:solidFill>
                <a:schemeClr val="bg1"/>
              </a:solidFill>
            </a:rPr>
            <a:t> Tracker Analysis</a:t>
          </a:r>
          <a:endParaRPr lang="en-US" sz="2000" b="1">
            <a:solidFill>
              <a:schemeClr val="bg1"/>
            </a:solidFill>
          </a:endParaRPr>
        </a:p>
      </xdr:txBody>
    </xdr:sp>
    <xdr:clientData/>
  </xdr:twoCellAnchor>
  <xdr:twoCellAnchor>
    <xdr:from>
      <xdr:col>1</xdr:col>
      <xdr:colOff>533400</xdr:colOff>
      <xdr:row>8</xdr:row>
      <xdr:rowOff>30480</xdr:rowOff>
    </xdr:from>
    <xdr:to>
      <xdr:col>10</xdr:col>
      <xdr:colOff>563880</xdr:colOff>
      <xdr:row>26</xdr:row>
      <xdr:rowOff>175260</xdr:rowOff>
    </xdr:to>
    <xdr:graphicFrame macro="">
      <xdr:nvGraphicFramePr>
        <xdr:cNvPr id="2" name="Chart 1">
          <a:extLst>
            <a:ext uri="{FF2B5EF4-FFF2-40B4-BE49-F238E27FC236}">
              <a16:creationId xmlns:a16="http://schemas.microsoft.com/office/drawing/2014/main" id="{B79AB170-CCF3-496B-A824-75F962AF7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83820</xdr:colOff>
      <xdr:row>8</xdr:row>
      <xdr:rowOff>38100</xdr:rowOff>
    </xdr:from>
    <xdr:to>
      <xdr:col>20</xdr:col>
      <xdr:colOff>259080</xdr:colOff>
      <xdr:row>26</xdr:row>
      <xdr:rowOff>137160</xdr:rowOff>
    </xdr:to>
    <xdr:graphicFrame macro="">
      <xdr:nvGraphicFramePr>
        <xdr:cNvPr id="7" name="Chart 6">
          <a:extLst>
            <a:ext uri="{FF2B5EF4-FFF2-40B4-BE49-F238E27FC236}">
              <a16:creationId xmlns:a16="http://schemas.microsoft.com/office/drawing/2014/main" id="{E99AA081-05D7-4B43-8148-CF38ED777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548640</xdr:colOff>
      <xdr:row>27</xdr:row>
      <xdr:rowOff>68580</xdr:rowOff>
    </xdr:from>
    <xdr:to>
      <xdr:col>10</xdr:col>
      <xdr:colOff>541020</xdr:colOff>
      <xdr:row>44</xdr:row>
      <xdr:rowOff>7620</xdr:rowOff>
    </xdr:to>
    <xdr:graphicFrame macro="">
      <xdr:nvGraphicFramePr>
        <xdr:cNvPr id="8" name="Chart 7">
          <a:extLst>
            <a:ext uri="{FF2B5EF4-FFF2-40B4-BE49-F238E27FC236}">
              <a16:creationId xmlns:a16="http://schemas.microsoft.com/office/drawing/2014/main" id="{B86019BF-5F07-492D-BE4F-270C2BCE7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76200</xdr:colOff>
      <xdr:row>27</xdr:row>
      <xdr:rowOff>60960</xdr:rowOff>
    </xdr:from>
    <xdr:to>
      <xdr:col>20</xdr:col>
      <xdr:colOff>297180</xdr:colOff>
      <xdr:row>44</xdr:row>
      <xdr:rowOff>22860</xdr:rowOff>
    </xdr:to>
    <xdr:graphicFrame macro="">
      <xdr:nvGraphicFramePr>
        <xdr:cNvPr id="9" name="Chart 8">
          <a:extLst>
            <a:ext uri="{FF2B5EF4-FFF2-40B4-BE49-F238E27FC236}">
              <a16:creationId xmlns:a16="http://schemas.microsoft.com/office/drawing/2014/main" id="{B94AC4A9-9B5E-450B-8A76-94A3A2F24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76200</xdr:rowOff>
    </xdr:from>
    <xdr:to>
      <xdr:col>1</xdr:col>
      <xdr:colOff>434340</xdr:colOff>
      <xdr:row>21</xdr:row>
      <xdr:rowOff>165735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132801A2-E071-5A98-398A-1FE53908D6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539240"/>
              <a:ext cx="104394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ESH" refreshedDate="45862.861564004626" createdVersion="8" refreshedVersion="8" minRefreshableVersion="3" recordCount="31" xr:uid="{2C03E110-5202-4813-9377-26C170920E63}">
  <cacheSource type="worksheet">
    <worksheetSource name="Table2"/>
  </cacheSource>
  <cacheFields count="6">
    <cacheField name="date " numFmtId="0">
      <sharedItems containsDate="1" containsMixedTypes="1" minDate="2082-01-03T00:00:00" maxDate="2082-12-04T00:00:00" count="31">
        <d v="2082-01-03T00:00:00"/>
        <d v="2082-02-03T00:00:00"/>
        <d v="2082-03-03T00:00:00"/>
        <d v="2082-04-03T00:00:00"/>
        <d v="2082-05-03T00:00:00"/>
        <d v="2082-06-03T00:00:00"/>
        <d v="2082-07-03T00:00:00"/>
        <d v="2082-08-03T00:00:00"/>
        <d v="2082-09-03T00:00:00"/>
        <d v="2082-10-03T00:00:00"/>
        <d v="2082-11-03T00:00:00"/>
        <d v="2082-12-03T00:00:00"/>
        <s v="13/3/2082"/>
        <s v="14/3/2082"/>
        <s v="15/3/2082"/>
        <s v="16/3/2082"/>
        <s v="17/3/2082"/>
        <s v="18/3/2082"/>
        <s v="19/3/2082"/>
        <s v="20/3/2082"/>
        <s v="21/3/2082"/>
        <s v="22/3/2082"/>
        <s v="23/3/2082"/>
        <s v="24/3/2082"/>
        <s v="25/3/2082"/>
        <s v="26/3/2082"/>
        <s v="27/3/2082"/>
        <s v="28/3/2082"/>
        <s v="29/3/2082"/>
        <s v="30/3/2082"/>
        <s v="31/3/2082"/>
      </sharedItems>
    </cacheField>
    <cacheField name="category" numFmtId="0">
      <sharedItems count="10">
        <s v="food "/>
        <s v="essentials"/>
        <s v="living expenses"/>
        <s v="transporatation"/>
        <s v="healthcare"/>
        <s v="entertainment"/>
        <s v="savings and investements"/>
        <s v="gift and donations "/>
        <s v="education"/>
        <s v="food"/>
      </sharedItems>
    </cacheField>
    <cacheField name="sub_category" numFmtId="0">
      <sharedItems count="18">
        <s v="groceries"/>
        <s v="daily "/>
        <s v="housing"/>
        <s v="public transport"/>
        <s v="medical expneses"/>
        <s v="leisure acvities"/>
        <s v="emergency fund "/>
        <s v="birthday gift"/>
        <s v="school fees"/>
        <s v="retirement saving "/>
        <s v="dining out "/>
        <s v="charitable donations"/>
        <s v="car expenses "/>
        <s v="subscriptions"/>
        <s v="other saving goals"/>
        <s v="household supplies "/>
        <s v="books"/>
        <s v="utilities"/>
      </sharedItems>
    </cacheField>
    <cacheField name="Column1" numFmtId="0">
      <sharedItems containsNonDate="0" containsString="0" containsBlank="1"/>
    </cacheField>
    <cacheField name="amount " numFmtId="0">
      <sharedItems containsSemiMixedTypes="0" containsString="0" containsNumber="1" containsInteger="1" minValue="20" maxValue="10000" count="12">
        <n v="10000"/>
        <n v="200"/>
        <n v="20"/>
        <n v="1000"/>
        <n v="5000"/>
        <n v="500"/>
        <n v="2000"/>
        <n v="300"/>
        <n v="3000"/>
        <n v="1500"/>
        <n v="2300"/>
        <n v="4000"/>
      </sharedItems>
    </cacheField>
    <cacheField name="Payment_method" numFmtId="0">
      <sharedItems count="3">
        <s v="e-sewa"/>
        <s v="khalti"/>
        <s v="banking"/>
      </sharedItems>
    </cacheField>
  </cacheFields>
  <extLst>
    <ext xmlns:x14="http://schemas.microsoft.com/office/spreadsheetml/2009/9/main" uri="{725AE2AE-9491-48be-B2B4-4EB974FC3084}">
      <x14:pivotCacheDefinition pivotCacheId="762659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x v="0"/>
    <x v="0"/>
    <m/>
    <x v="0"/>
    <x v="0"/>
  </r>
  <r>
    <x v="1"/>
    <x v="1"/>
    <x v="1"/>
    <m/>
    <x v="1"/>
    <x v="1"/>
  </r>
  <r>
    <x v="2"/>
    <x v="2"/>
    <x v="2"/>
    <m/>
    <x v="0"/>
    <x v="2"/>
  </r>
  <r>
    <x v="3"/>
    <x v="3"/>
    <x v="3"/>
    <m/>
    <x v="2"/>
    <x v="0"/>
  </r>
  <r>
    <x v="4"/>
    <x v="4"/>
    <x v="4"/>
    <m/>
    <x v="3"/>
    <x v="0"/>
  </r>
  <r>
    <x v="5"/>
    <x v="5"/>
    <x v="5"/>
    <m/>
    <x v="3"/>
    <x v="0"/>
  </r>
  <r>
    <x v="6"/>
    <x v="6"/>
    <x v="6"/>
    <m/>
    <x v="3"/>
    <x v="0"/>
  </r>
  <r>
    <x v="7"/>
    <x v="7"/>
    <x v="7"/>
    <m/>
    <x v="3"/>
    <x v="0"/>
  </r>
  <r>
    <x v="8"/>
    <x v="8"/>
    <x v="8"/>
    <m/>
    <x v="4"/>
    <x v="2"/>
  </r>
  <r>
    <x v="9"/>
    <x v="1"/>
    <x v="1"/>
    <m/>
    <x v="5"/>
    <x v="0"/>
  </r>
  <r>
    <x v="10"/>
    <x v="6"/>
    <x v="9"/>
    <m/>
    <x v="6"/>
    <x v="2"/>
  </r>
  <r>
    <x v="11"/>
    <x v="0"/>
    <x v="10"/>
    <m/>
    <x v="6"/>
    <x v="0"/>
  </r>
  <r>
    <x v="12"/>
    <x v="7"/>
    <x v="11"/>
    <m/>
    <x v="7"/>
    <x v="1"/>
  </r>
  <r>
    <x v="13"/>
    <x v="0"/>
    <x v="10"/>
    <m/>
    <x v="8"/>
    <x v="2"/>
  </r>
  <r>
    <x v="14"/>
    <x v="2"/>
    <x v="12"/>
    <m/>
    <x v="4"/>
    <x v="2"/>
  </r>
  <r>
    <x v="15"/>
    <x v="3"/>
    <x v="3"/>
    <m/>
    <x v="7"/>
    <x v="1"/>
  </r>
  <r>
    <x v="16"/>
    <x v="5"/>
    <x v="13"/>
    <m/>
    <x v="3"/>
    <x v="0"/>
  </r>
  <r>
    <x v="17"/>
    <x v="6"/>
    <x v="14"/>
    <m/>
    <x v="3"/>
    <x v="0"/>
  </r>
  <r>
    <x v="18"/>
    <x v="9"/>
    <x v="0"/>
    <m/>
    <x v="8"/>
    <x v="2"/>
  </r>
  <r>
    <x v="19"/>
    <x v="2"/>
    <x v="15"/>
    <m/>
    <x v="6"/>
    <x v="2"/>
  </r>
  <r>
    <x v="20"/>
    <x v="4"/>
    <x v="4"/>
    <m/>
    <x v="9"/>
    <x v="1"/>
  </r>
  <r>
    <x v="21"/>
    <x v="6"/>
    <x v="6"/>
    <m/>
    <x v="6"/>
    <x v="2"/>
  </r>
  <r>
    <x v="22"/>
    <x v="7"/>
    <x v="7"/>
    <m/>
    <x v="5"/>
    <x v="0"/>
  </r>
  <r>
    <x v="23"/>
    <x v="0"/>
    <x v="10"/>
    <m/>
    <x v="10"/>
    <x v="1"/>
  </r>
  <r>
    <x v="24"/>
    <x v="8"/>
    <x v="16"/>
    <m/>
    <x v="3"/>
    <x v="0"/>
  </r>
  <r>
    <x v="25"/>
    <x v="5"/>
    <x v="5"/>
    <m/>
    <x v="3"/>
    <x v="0"/>
  </r>
  <r>
    <x v="26"/>
    <x v="4"/>
    <x v="4"/>
    <m/>
    <x v="8"/>
    <x v="2"/>
  </r>
  <r>
    <x v="27"/>
    <x v="6"/>
    <x v="9"/>
    <m/>
    <x v="6"/>
    <x v="0"/>
  </r>
  <r>
    <x v="28"/>
    <x v="9"/>
    <x v="10"/>
    <m/>
    <x v="11"/>
    <x v="2"/>
  </r>
  <r>
    <x v="29"/>
    <x v="2"/>
    <x v="17"/>
    <m/>
    <x v="3"/>
    <x v="1"/>
  </r>
  <r>
    <x v="30"/>
    <x v="3"/>
    <x v="12"/>
    <m/>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ED3C75-4DAF-466D-B33F-DC936B248A1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ub_category">
  <location ref="A25:B44" firstHeaderRow="1" firstDataRow="1" firstDataCol="1"/>
  <pivotFields count="6">
    <pivotField showAll="0"/>
    <pivotField showAll="0">
      <items count="11">
        <item x="8"/>
        <item x="5"/>
        <item x="1"/>
        <item x="9"/>
        <item x="0"/>
        <item x="7"/>
        <item x="4"/>
        <item x="2"/>
        <item x="6"/>
        <item x="3"/>
        <item t="default"/>
      </items>
    </pivotField>
    <pivotField axis="axisRow" showAll="0">
      <items count="19">
        <item x="7"/>
        <item x="16"/>
        <item x="12"/>
        <item x="11"/>
        <item x="1"/>
        <item x="10"/>
        <item x="6"/>
        <item x="0"/>
        <item x="15"/>
        <item x="2"/>
        <item x="5"/>
        <item x="4"/>
        <item x="14"/>
        <item x="3"/>
        <item x="9"/>
        <item x="8"/>
        <item x="13"/>
        <item x="17"/>
        <item t="default"/>
      </items>
    </pivotField>
    <pivotField showAll="0"/>
    <pivotField dataField="1" showAll="0"/>
    <pivotField showAll="0">
      <items count="4">
        <item x="2"/>
        <item x="0"/>
        <item x="1"/>
        <item t="default"/>
      </items>
    </pivotField>
  </pivotFields>
  <rowFields count="1">
    <field x="2"/>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amount " fld="4" baseField="0" baseItem="0"/>
  </dataFields>
  <chartFormats count="4">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BA83AE-610B-4FE4-A9FD-60287A42483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A2:B13" firstHeaderRow="1" firstDataRow="1" firstDataCol="1"/>
  <pivotFields count="6">
    <pivotField showAll="0"/>
    <pivotField axis="axisRow" showAll="0">
      <items count="11">
        <item x="8"/>
        <item x="5"/>
        <item x="1"/>
        <item x="9"/>
        <item x="0"/>
        <item x="7"/>
        <item x="4"/>
        <item x="2"/>
        <item x="6"/>
        <item x="3"/>
        <item t="default"/>
      </items>
    </pivotField>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amount " fld="4" baseField="0" baseItem="0"/>
  </dataFields>
  <chartFormats count="3">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45A7EF-6A8D-44DA-873E-D23ABBEBA08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ment_method">
  <location ref="A17:B21" firstHeaderRow="1" firstDataRow="1" firstDataCol="1"/>
  <pivotFields count="6">
    <pivotField showAll="0"/>
    <pivotField showAll="0">
      <items count="11">
        <item x="8"/>
        <item x="5"/>
        <item x="1"/>
        <item x="9"/>
        <item x="0"/>
        <item x="7"/>
        <item x="4"/>
        <item x="2"/>
        <item x="6"/>
        <item x="3"/>
        <item t="default"/>
      </items>
    </pivotField>
    <pivotField showAll="0"/>
    <pivotField showAll="0"/>
    <pivotField dataField="1" showAll="0"/>
    <pivotField axis="axisRow" showAll="0">
      <items count="4">
        <item x="2"/>
        <item x="0"/>
        <item x="1"/>
        <item t="default"/>
      </items>
    </pivotField>
  </pivotFields>
  <rowFields count="1">
    <field x="5"/>
  </rowFields>
  <rowItems count="4">
    <i>
      <x/>
    </i>
    <i>
      <x v="1"/>
    </i>
    <i>
      <x v="2"/>
    </i>
    <i t="grand">
      <x/>
    </i>
  </rowItems>
  <colItems count="1">
    <i/>
  </colItems>
  <dataFields count="1">
    <dataField name="Sum of amount " fld="4"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2"/>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5E9121-CEF2-4CDA-A68C-8DDB361B6D6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te">
  <location ref="D2:E34" firstHeaderRow="1" firstDataRow="1" firstDataCol="1"/>
  <pivotFields count="6">
    <pivotField axis="axisRow" showAll="0">
      <items count="32">
        <item x="12"/>
        <item x="13"/>
        <item x="14"/>
        <item x="15"/>
        <item x="16"/>
        <item x="17"/>
        <item x="18"/>
        <item x="19"/>
        <item x="20"/>
        <item x="21"/>
        <item x="22"/>
        <item x="23"/>
        <item x="24"/>
        <item x="25"/>
        <item x="26"/>
        <item x="27"/>
        <item x="28"/>
        <item x="29"/>
        <item x="30"/>
        <item x="0"/>
        <item x="1"/>
        <item x="2"/>
        <item x="3"/>
        <item x="4"/>
        <item x="5"/>
        <item x="6"/>
        <item x="7"/>
        <item x="8"/>
        <item x="9"/>
        <item x="10"/>
        <item x="11"/>
        <item t="default"/>
      </items>
    </pivotField>
    <pivotField showAll="0">
      <items count="11">
        <item x="8"/>
        <item x="5"/>
        <item x="1"/>
        <item x="9"/>
        <item x="0"/>
        <item x="7"/>
        <item x="4"/>
        <item x="2"/>
        <item x="6"/>
        <item x="3"/>
        <item t="default"/>
      </items>
    </pivotField>
    <pivotField showAll="0"/>
    <pivotField showAll="0"/>
    <pivotField dataField="1" showAll="0"/>
    <pivotField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amount " fld="4" baseField="0" baseItem="0"/>
  </dataField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788FB9-FEEA-47A8-A1D2-2F30A8535441}" sourceName="category">
  <pivotTables>
    <pivotTable tabId="2" name="PivotTable9"/>
  </pivotTables>
  <data>
    <tabular pivotCacheId="762659522">
      <items count="10">
        <i x="8" s="1"/>
        <i x="5" s="1"/>
        <i x="1" s="1"/>
        <i x="9" s="1"/>
        <i x="0" s="1"/>
        <i x="7" s="1"/>
        <i x="4" s="1"/>
        <i x="2"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4D92859-A9A6-4981-8A5E-C8DED54DA39A}"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8B29FC-74C5-48AF-A961-02BB0A00961B}" name="Table2" displayName="Table2" ref="B3:G34" totalsRowShown="0">
  <autoFilter ref="B3:G34" xr:uid="{E58B29FC-74C5-48AF-A961-02BB0A00961B}"/>
  <tableColumns count="6">
    <tableColumn id="1" xr3:uid="{D1CFE0A6-2C5E-46FD-B0CA-6CFDBD95BCB4}" name="date "/>
    <tableColumn id="2" xr3:uid="{37FA12B0-4C37-428E-9122-3E500ABB9E9F}" name="category"/>
    <tableColumn id="3" xr3:uid="{E95E485E-6AA1-4481-B2D1-917F8846E5C8}" name="sub_category"/>
    <tableColumn id="4" xr3:uid="{FC8982A0-39B8-4E4A-A2B0-1352037051E5}" name="Column1"/>
    <tableColumn id="5" xr3:uid="{9F192918-B16F-4D9C-84FD-EA85803D10BA}" name="amount "/>
    <tableColumn id="6" xr3:uid="{7B4BC5DA-CCE3-48F1-BCBB-B0F63F96B40F}" name="Payment_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1972F-AB3F-4080-97E7-8AD307EEF33F}">
  <dimension ref="B3:G34"/>
  <sheetViews>
    <sheetView workbookViewId="0">
      <selection activeCell="G34" sqref="G34"/>
    </sheetView>
  </sheetViews>
  <sheetFormatPr defaultRowHeight="14.4" x14ac:dyDescent="0.3"/>
  <cols>
    <col min="2" max="2" width="9.5546875" bestFit="1" customWidth="1"/>
    <col min="3" max="3" width="21.77734375" bestFit="1" customWidth="1"/>
    <col min="4" max="4" width="17.5546875" customWidth="1"/>
    <col min="5" max="5" width="8.88671875" hidden="1" customWidth="1"/>
    <col min="6" max="6" width="10" customWidth="1"/>
    <col min="7" max="7" width="18" customWidth="1"/>
  </cols>
  <sheetData>
    <row r="3" spans="2:7" x14ac:dyDescent="0.3">
      <c r="B3" t="s">
        <v>0</v>
      </c>
      <c r="C3" t="s">
        <v>1</v>
      </c>
      <c r="D3" t="s">
        <v>2</v>
      </c>
      <c r="E3" t="s">
        <v>54</v>
      </c>
      <c r="F3" t="s">
        <v>3</v>
      </c>
      <c r="G3" t="s">
        <v>57</v>
      </c>
    </row>
    <row r="4" spans="2:7" x14ac:dyDescent="0.3">
      <c r="B4" s="1">
        <v>66479</v>
      </c>
      <c r="C4" t="s">
        <v>23</v>
      </c>
      <c r="D4" t="s">
        <v>33</v>
      </c>
      <c r="F4" s="2">
        <v>10000</v>
      </c>
      <c r="G4" t="s">
        <v>51</v>
      </c>
    </row>
    <row r="5" spans="2:7" x14ac:dyDescent="0.3">
      <c r="B5" s="1">
        <v>66510</v>
      </c>
      <c r="C5" t="s">
        <v>24</v>
      </c>
      <c r="D5" t="s">
        <v>34</v>
      </c>
      <c r="F5">
        <v>200</v>
      </c>
      <c r="G5" t="s">
        <v>52</v>
      </c>
    </row>
    <row r="6" spans="2:7" x14ac:dyDescent="0.3">
      <c r="B6" s="1">
        <v>66538</v>
      </c>
      <c r="C6" t="s">
        <v>25</v>
      </c>
      <c r="D6" t="s">
        <v>35</v>
      </c>
      <c r="F6">
        <v>10000</v>
      </c>
      <c r="G6" t="s">
        <v>53</v>
      </c>
    </row>
    <row r="7" spans="2:7" x14ac:dyDescent="0.3">
      <c r="B7" s="1">
        <v>66569</v>
      </c>
      <c r="C7" t="s">
        <v>26</v>
      </c>
      <c r="D7" t="s">
        <v>36</v>
      </c>
      <c r="F7">
        <v>20</v>
      </c>
      <c r="G7" t="s">
        <v>51</v>
      </c>
    </row>
    <row r="8" spans="2:7" x14ac:dyDescent="0.3">
      <c r="B8" s="1">
        <v>66599</v>
      </c>
      <c r="C8" t="s">
        <v>27</v>
      </c>
      <c r="D8" t="s">
        <v>37</v>
      </c>
      <c r="F8">
        <v>1000</v>
      </c>
      <c r="G8" t="s">
        <v>51</v>
      </c>
    </row>
    <row r="9" spans="2:7" x14ac:dyDescent="0.3">
      <c r="B9" s="1">
        <v>66630</v>
      </c>
      <c r="C9" t="s">
        <v>28</v>
      </c>
      <c r="D9" t="s">
        <v>38</v>
      </c>
      <c r="F9">
        <v>1000</v>
      </c>
      <c r="G9" t="s">
        <v>51</v>
      </c>
    </row>
    <row r="10" spans="2:7" x14ac:dyDescent="0.3">
      <c r="B10" s="1">
        <v>66660</v>
      </c>
      <c r="C10" t="s">
        <v>29</v>
      </c>
      <c r="D10" t="s">
        <v>39</v>
      </c>
      <c r="F10">
        <v>1000</v>
      </c>
      <c r="G10" t="s">
        <v>51</v>
      </c>
    </row>
    <row r="11" spans="2:7" x14ac:dyDescent="0.3">
      <c r="B11" s="1">
        <v>66691</v>
      </c>
      <c r="C11" t="s">
        <v>30</v>
      </c>
      <c r="D11" t="s">
        <v>40</v>
      </c>
      <c r="F11">
        <v>1000</v>
      </c>
      <c r="G11" t="s">
        <v>51</v>
      </c>
    </row>
    <row r="12" spans="2:7" x14ac:dyDescent="0.3">
      <c r="B12" s="1">
        <v>66722</v>
      </c>
      <c r="C12" t="s">
        <v>31</v>
      </c>
      <c r="D12" t="s">
        <v>41</v>
      </c>
      <c r="F12">
        <v>5000</v>
      </c>
      <c r="G12" t="s">
        <v>53</v>
      </c>
    </row>
    <row r="13" spans="2:7" x14ac:dyDescent="0.3">
      <c r="B13" s="1">
        <v>66752</v>
      </c>
      <c r="C13" t="s">
        <v>24</v>
      </c>
      <c r="D13" t="s">
        <v>34</v>
      </c>
      <c r="F13">
        <v>500</v>
      </c>
      <c r="G13" t="s">
        <v>51</v>
      </c>
    </row>
    <row r="14" spans="2:7" x14ac:dyDescent="0.3">
      <c r="B14" s="1">
        <v>66783</v>
      </c>
      <c r="C14" t="s">
        <v>29</v>
      </c>
      <c r="D14" t="s">
        <v>42</v>
      </c>
      <c r="F14">
        <v>2000</v>
      </c>
      <c r="G14" t="s">
        <v>53</v>
      </c>
    </row>
    <row r="15" spans="2:7" x14ac:dyDescent="0.3">
      <c r="B15" s="1">
        <v>66813</v>
      </c>
      <c r="C15" t="s">
        <v>23</v>
      </c>
      <c r="D15" t="s">
        <v>43</v>
      </c>
      <c r="F15">
        <v>2000</v>
      </c>
      <c r="G15" t="s">
        <v>51</v>
      </c>
    </row>
    <row r="16" spans="2:7" x14ac:dyDescent="0.3">
      <c r="B16" t="s">
        <v>5</v>
      </c>
      <c r="C16" t="s">
        <v>30</v>
      </c>
      <c r="D16" t="s">
        <v>44</v>
      </c>
      <c r="F16">
        <v>300</v>
      </c>
      <c r="G16" t="s">
        <v>52</v>
      </c>
    </row>
    <row r="17" spans="2:7" x14ac:dyDescent="0.3">
      <c r="B17" t="s">
        <v>6</v>
      </c>
      <c r="C17" t="s">
        <v>23</v>
      </c>
      <c r="D17" t="s">
        <v>43</v>
      </c>
      <c r="F17">
        <v>3000</v>
      </c>
      <c r="G17" t="s">
        <v>53</v>
      </c>
    </row>
    <row r="18" spans="2:7" x14ac:dyDescent="0.3">
      <c r="B18" t="s">
        <v>7</v>
      </c>
      <c r="C18" t="s">
        <v>25</v>
      </c>
      <c r="D18" t="s">
        <v>45</v>
      </c>
      <c r="F18">
        <v>5000</v>
      </c>
      <c r="G18" t="s">
        <v>53</v>
      </c>
    </row>
    <row r="19" spans="2:7" x14ac:dyDescent="0.3">
      <c r="B19" t="s">
        <v>4</v>
      </c>
      <c r="C19" t="s">
        <v>26</v>
      </c>
      <c r="D19" t="s">
        <v>36</v>
      </c>
      <c r="F19">
        <v>300</v>
      </c>
      <c r="G19" t="s">
        <v>52</v>
      </c>
    </row>
    <row r="20" spans="2:7" x14ac:dyDescent="0.3">
      <c r="B20" t="s">
        <v>8</v>
      </c>
      <c r="C20" t="s">
        <v>28</v>
      </c>
      <c r="D20" t="s">
        <v>46</v>
      </c>
      <c r="F20">
        <v>1000</v>
      </c>
      <c r="G20" t="s">
        <v>51</v>
      </c>
    </row>
    <row r="21" spans="2:7" x14ac:dyDescent="0.3">
      <c r="B21" t="s">
        <v>9</v>
      </c>
      <c r="C21" t="s">
        <v>29</v>
      </c>
      <c r="D21" t="s">
        <v>47</v>
      </c>
      <c r="F21">
        <v>1000</v>
      </c>
      <c r="G21" t="s">
        <v>51</v>
      </c>
    </row>
    <row r="22" spans="2:7" x14ac:dyDescent="0.3">
      <c r="B22" t="s">
        <v>10</v>
      </c>
      <c r="C22" t="s">
        <v>32</v>
      </c>
      <c r="D22" t="s">
        <v>33</v>
      </c>
      <c r="F22">
        <v>3000</v>
      </c>
      <c r="G22" t="s">
        <v>53</v>
      </c>
    </row>
    <row r="23" spans="2:7" x14ac:dyDescent="0.3">
      <c r="B23" t="s">
        <v>11</v>
      </c>
      <c r="C23" t="s">
        <v>25</v>
      </c>
      <c r="D23" t="s">
        <v>48</v>
      </c>
      <c r="F23">
        <v>2000</v>
      </c>
      <c r="G23" t="s">
        <v>53</v>
      </c>
    </row>
    <row r="24" spans="2:7" x14ac:dyDescent="0.3">
      <c r="B24" t="s">
        <v>12</v>
      </c>
      <c r="C24" t="s">
        <v>27</v>
      </c>
      <c r="D24" t="s">
        <v>37</v>
      </c>
      <c r="F24">
        <v>1500</v>
      </c>
      <c r="G24" t="s">
        <v>52</v>
      </c>
    </row>
    <row r="25" spans="2:7" x14ac:dyDescent="0.3">
      <c r="B25" t="s">
        <v>13</v>
      </c>
      <c r="C25" t="s">
        <v>29</v>
      </c>
      <c r="D25" t="s">
        <v>39</v>
      </c>
      <c r="F25">
        <v>2000</v>
      </c>
      <c r="G25" t="s">
        <v>53</v>
      </c>
    </row>
    <row r="26" spans="2:7" x14ac:dyDescent="0.3">
      <c r="B26" t="s">
        <v>14</v>
      </c>
      <c r="C26" t="s">
        <v>30</v>
      </c>
      <c r="D26" t="s">
        <v>40</v>
      </c>
      <c r="F26">
        <v>500</v>
      </c>
      <c r="G26" t="s">
        <v>51</v>
      </c>
    </row>
    <row r="27" spans="2:7" x14ac:dyDescent="0.3">
      <c r="B27" t="s">
        <v>15</v>
      </c>
      <c r="C27" t="s">
        <v>23</v>
      </c>
      <c r="D27" t="s">
        <v>43</v>
      </c>
      <c r="F27">
        <v>2300</v>
      </c>
      <c r="G27" t="s">
        <v>52</v>
      </c>
    </row>
    <row r="28" spans="2:7" x14ac:dyDescent="0.3">
      <c r="B28" t="s">
        <v>16</v>
      </c>
      <c r="C28" t="s">
        <v>31</v>
      </c>
      <c r="D28" t="s">
        <v>49</v>
      </c>
      <c r="F28">
        <v>1000</v>
      </c>
      <c r="G28" t="s">
        <v>51</v>
      </c>
    </row>
    <row r="29" spans="2:7" x14ac:dyDescent="0.3">
      <c r="B29" t="s">
        <v>17</v>
      </c>
      <c r="C29" t="s">
        <v>28</v>
      </c>
      <c r="D29" t="s">
        <v>38</v>
      </c>
      <c r="F29">
        <v>1000</v>
      </c>
      <c r="G29" t="s">
        <v>51</v>
      </c>
    </row>
    <row r="30" spans="2:7" x14ac:dyDescent="0.3">
      <c r="B30" t="s">
        <v>18</v>
      </c>
      <c r="C30" t="s">
        <v>27</v>
      </c>
      <c r="D30" t="s">
        <v>37</v>
      </c>
      <c r="F30">
        <v>3000</v>
      </c>
      <c r="G30" t="s">
        <v>53</v>
      </c>
    </row>
    <row r="31" spans="2:7" x14ac:dyDescent="0.3">
      <c r="B31" t="s">
        <v>19</v>
      </c>
      <c r="C31" t="s">
        <v>29</v>
      </c>
      <c r="D31" t="s">
        <v>42</v>
      </c>
      <c r="F31">
        <v>2000</v>
      </c>
      <c r="G31" t="s">
        <v>51</v>
      </c>
    </row>
    <row r="32" spans="2:7" x14ac:dyDescent="0.3">
      <c r="B32" t="s">
        <v>20</v>
      </c>
      <c r="C32" t="s">
        <v>32</v>
      </c>
      <c r="D32" t="s">
        <v>43</v>
      </c>
      <c r="F32">
        <v>4000</v>
      </c>
      <c r="G32" t="s">
        <v>53</v>
      </c>
    </row>
    <row r="33" spans="2:7" x14ac:dyDescent="0.3">
      <c r="B33" t="s">
        <v>21</v>
      </c>
      <c r="C33" t="s">
        <v>25</v>
      </c>
      <c r="D33" t="s">
        <v>50</v>
      </c>
      <c r="F33">
        <v>1000</v>
      </c>
      <c r="G33" t="s">
        <v>52</v>
      </c>
    </row>
    <row r="34" spans="2:7" x14ac:dyDescent="0.3">
      <c r="B34" t="s">
        <v>22</v>
      </c>
      <c r="C34" t="s">
        <v>26</v>
      </c>
      <c r="D34" t="s">
        <v>45</v>
      </c>
      <c r="F34">
        <v>5000</v>
      </c>
      <c r="G34" t="s">
        <v>53</v>
      </c>
    </row>
  </sheetData>
  <dataValidations count="4">
    <dataValidation type="date" allowBlank="1" showInputMessage="1" showErrorMessage="1" sqref="B3:B34" xr:uid="{2F73B0C6-DB47-4C8B-A70A-88EB96280FAC}">
      <formula1>66479</formula1>
      <formula2>B34</formula2>
    </dataValidation>
    <dataValidation type="decimal" allowBlank="1" showInputMessage="1" showErrorMessage="1" sqref="F3:F34" xr:uid="{D706D64B-966D-4940-88A8-0186DF190B52}">
      <formula1>10</formula1>
      <formula2>15000</formula2>
    </dataValidation>
    <dataValidation type="list" allowBlank="1" showInputMessage="1" showErrorMessage="1" sqref="G35" xr:uid="{9BFC5BF7-2750-4EEB-9931-515F43ECCA04}">
      <formula1>"e-sewa,khalti,bnaking, cash"</formula1>
    </dataValidation>
    <dataValidation type="list" allowBlank="1" showInputMessage="1" showErrorMessage="1" sqref="G4:G34" xr:uid="{54FE28C3-C552-4028-83B3-497D732B9893}">
      <formula1>"e-sewa,banking,khalti"</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23B9A-7A1D-422E-883E-C9C590D9BDC6}">
  <dimension ref="A2:E44"/>
  <sheetViews>
    <sheetView workbookViewId="0">
      <selection sqref="A1:U46"/>
    </sheetView>
  </sheetViews>
  <sheetFormatPr defaultRowHeight="14.4" x14ac:dyDescent="0.3"/>
  <cols>
    <col min="1" max="1" width="21.77734375" bestFit="1" customWidth="1"/>
    <col min="2" max="2" width="14.6640625" bestFit="1" customWidth="1"/>
    <col min="3" max="3" width="4" bestFit="1" customWidth="1"/>
    <col min="4" max="4" width="12.5546875" bestFit="1" customWidth="1"/>
    <col min="5" max="5" width="14.6640625" bestFit="1" customWidth="1"/>
    <col min="6" max="7" width="5" bestFit="1" customWidth="1"/>
    <col min="8" max="8" width="12.5546875" bestFit="1" customWidth="1"/>
    <col min="9" max="9" width="16.77734375" bestFit="1" customWidth="1"/>
    <col min="10" max="10" width="14.6640625" bestFit="1" customWidth="1"/>
    <col min="11" max="11" width="14.5546875" bestFit="1" customWidth="1"/>
    <col min="12" max="12" width="14.6640625" bestFit="1" customWidth="1"/>
    <col min="13" max="13" width="6" bestFit="1" customWidth="1"/>
    <col min="14" max="14" width="10.77734375" bestFit="1" customWidth="1"/>
  </cols>
  <sheetData>
    <row r="2" spans="1:5" x14ac:dyDescent="0.3">
      <c r="A2" s="3" t="s">
        <v>1</v>
      </c>
      <c r="B2" t="s">
        <v>56</v>
      </c>
      <c r="D2" s="3" t="s">
        <v>59</v>
      </c>
      <c r="E2" t="s">
        <v>56</v>
      </c>
    </row>
    <row r="3" spans="1:5" x14ac:dyDescent="0.3">
      <c r="A3" s="4" t="s">
        <v>31</v>
      </c>
      <c r="B3" s="7">
        <v>6000</v>
      </c>
      <c r="D3" s="4" t="s">
        <v>5</v>
      </c>
      <c r="E3">
        <v>300</v>
      </c>
    </row>
    <row r="4" spans="1:5" x14ac:dyDescent="0.3">
      <c r="A4" s="4" t="s">
        <v>28</v>
      </c>
      <c r="B4" s="7">
        <v>3000</v>
      </c>
      <c r="D4" s="4" t="s">
        <v>6</v>
      </c>
      <c r="E4">
        <v>3000</v>
      </c>
    </row>
    <row r="5" spans="1:5" x14ac:dyDescent="0.3">
      <c r="A5" s="4" t="s">
        <v>24</v>
      </c>
      <c r="B5" s="7">
        <v>700</v>
      </c>
      <c r="D5" s="4" t="s">
        <v>7</v>
      </c>
      <c r="E5">
        <v>5000</v>
      </c>
    </row>
    <row r="6" spans="1:5" x14ac:dyDescent="0.3">
      <c r="A6" s="4" t="s">
        <v>32</v>
      </c>
      <c r="B6" s="7">
        <v>7000</v>
      </c>
      <c r="D6" s="4" t="s">
        <v>4</v>
      </c>
      <c r="E6">
        <v>300</v>
      </c>
    </row>
    <row r="7" spans="1:5" x14ac:dyDescent="0.3">
      <c r="A7" s="4" t="s">
        <v>23</v>
      </c>
      <c r="B7" s="7">
        <v>17300</v>
      </c>
      <c r="D7" s="4" t="s">
        <v>8</v>
      </c>
      <c r="E7">
        <v>1000</v>
      </c>
    </row>
    <row r="8" spans="1:5" x14ac:dyDescent="0.3">
      <c r="A8" s="4" t="s">
        <v>30</v>
      </c>
      <c r="B8" s="7">
        <v>1800</v>
      </c>
      <c r="D8" s="4" t="s">
        <v>9</v>
      </c>
      <c r="E8">
        <v>1000</v>
      </c>
    </row>
    <row r="9" spans="1:5" x14ac:dyDescent="0.3">
      <c r="A9" s="4" t="s">
        <v>27</v>
      </c>
      <c r="B9" s="7">
        <v>5500</v>
      </c>
      <c r="D9" s="4" t="s">
        <v>10</v>
      </c>
      <c r="E9">
        <v>3000</v>
      </c>
    </row>
    <row r="10" spans="1:5" x14ac:dyDescent="0.3">
      <c r="A10" s="4" t="s">
        <v>25</v>
      </c>
      <c r="B10" s="7">
        <v>18000</v>
      </c>
      <c r="D10" s="4" t="s">
        <v>11</v>
      </c>
      <c r="E10">
        <v>2000</v>
      </c>
    </row>
    <row r="11" spans="1:5" x14ac:dyDescent="0.3">
      <c r="A11" s="4" t="s">
        <v>29</v>
      </c>
      <c r="B11" s="7">
        <v>8000</v>
      </c>
      <c r="D11" s="4" t="s">
        <v>12</v>
      </c>
      <c r="E11">
        <v>1500</v>
      </c>
    </row>
    <row r="12" spans="1:5" x14ac:dyDescent="0.3">
      <c r="A12" s="4" t="s">
        <v>26</v>
      </c>
      <c r="B12" s="7">
        <v>5320</v>
      </c>
      <c r="D12" s="4" t="s">
        <v>13</v>
      </c>
      <c r="E12">
        <v>2000</v>
      </c>
    </row>
    <row r="13" spans="1:5" x14ac:dyDescent="0.3">
      <c r="A13" s="4" t="s">
        <v>55</v>
      </c>
      <c r="B13" s="7">
        <v>72620</v>
      </c>
      <c r="D13" s="4" t="s">
        <v>14</v>
      </c>
      <c r="E13">
        <v>500</v>
      </c>
    </row>
    <row r="14" spans="1:5" x14ac:dyDescent="0.3">
      <c r="D14" s="4" t="s">
        <v>15</v>
      </c>
      <c r="E14">
        <v>2300</v>
      </c>
    </row>
    <row r="15" spans="1:5" x14ac:dyDescent="0.3">
      <c r="D15" s="4" t="s">
        <v>16</v>
      </c>
      <c r="E15">
        <v>1000</v>
      </c>
    </row>
    <row r="16" spans="1:5" x14ac:dyDescent="0.3">
      <c r="D16" s="4" t="s">
        <v>17</v>
      </c>
      <c r="E16">
        <v>1000</v>
      </c>
    </row>
    <row r="17" spans="1:5" x14ac:dyDescent="0.3">
      <c r="A17" s="3" t="s">
        <v>58</v>
      </c>
      <c r="B17" t="s">
        <v>56</v>
      </c>
      <c r="D17" s="4" t="s">
        <v>18</v>
      </c>
      <c r="E17">
        <v>3000</v>
      </c>
    </row>
    <row r="18" spans="1:5" x14ac:dyDescent="0.3">
      <c r="A18" s="4" t="s">
        <v>53</v>
      </c>
      <c r="B18">
        <v>44000</v>
      </c>
      <c r="D18" s="4" t="s">
        <v>19</v>
      </c>
      <c r="E18">
        <v>2000</v>
      </c>
    </row>
    <row r="19" spans="1:5" x14ac:dyDescent="0.3">
      <c r="A19" s="4" t="s">
        <v>51</v>
      </c>
      <c r="B19">
        <v>23020</v>
      </c>
      <c r="D19" s="4" t="s">
        <v>20</v>
      </c>
      <c r="E19">
        <v>4000</v>
      </c>
    </row>
    <row r="20" spans="1:5" x14ac:dyDescent="0.3">
      <c r="A20" s="4" t="s">
        <v>52</v>
      </c>
      <c r="B20">
        <v>5600</v>
      </c>
      <c r="D20" s="4" t="s">
        <v>21</v>
      </c>
      <c r="E20">
        <v>1000</v>
      </c>
    </row>
    <row r="21" spans="1:5" x14ac:dyDescent="0.3">
      <c r="A21" s="4" t="s">
        <v>55</v>
      </c>
      <c r="B21">
        <v>72620</v>
      </c>
      <c r="D21" s="4" t="s">
        <v>22</v>
      </c>
      <c r="E21">
        <v>5000</v>
      </c>
    </row>
    <row r="22" spans="1:5" x14ac:dyDescent="0.3">
      <c r="D22" s="5">
        <v>66479</v>
      </c>
      <c r="E22">
        <v>10000</v>
      </c>
    </row>
    <row r="23" spans="1:5" x14ac:dyDescent="0.3">
      <c r="D23" s="5">
        <v>66510</v>
      </c>
      <c r="E23">
        <v>200</v>
      </c>
    </row>
    <row r="24" spans="1:5" x14ac:dyDescent="0.3">
      <c r="D24" s="5">
        <v>66538</v>
      </c>
      <c r="E24">
        <v>10000</v>
      </c>
    </row>
    <row r="25" spans="1:5" x14ac:dyDescent="0.3">
      <c r="A25" s="3" t="s">
        <v>2</v>
      </c>
      <c r="B25" t="s">
        <v>56</v>
      </c>
      <c r="D25" s="5">
        <v>66569</v>
      </c>
      <c r="E25">
        <v>20</v>
      </c>
    </row>
    <row r="26" spans="1:5" x14ac:dyDescent="0.3">
      <c r="A26" s="4" t="s">
        <v>40</v>
      </c>
      <c r="B26">
        <v>1500</v>
      </c>
      <c r="D26" s="5">
        <v>66599</v>
      </c>
      <c r="E26">
        <v>1000</v>
      </c>
    </row>
    <row r="27" spans="1:5" x14ac:dyDescent="0.3">
      <c r="A27" s="4" t="s">
        <v>49</v>
      </c>
      <c r="B27">
        <v>1000</v>
      </c>
      <c r="D27" s="5">
        <v>66630</v>
      </c>
      <c r="E27">
        <v>1000</v>
      </c>
    </row>
    <row r="28" spans="1:5" x14ac:dyDescent="0.3">
      <c r="A28" s="4" t="s">
        <v>45</v>
      </c>
      <c r="B28">
        <v>10000</v>
      </c>
      <c r="D28" s="5">
        <v>66660</v>
      </c>
      <c r="E28">
        <v>1000</v>
      </c>
    </row>
    <row r="29" spans="1:5" x14ac:dyDescent="0.3">
      <c r="A29" s="4" t="s">
        <v>44</v>
      </c>
      <c r="B29">
        <v>300</v>
      </c>
      <c r="D29" s="5">
        <v>66691</v>
      </c>
      <c r="E29">
        <v>1000</v>
      </c>
    </row>
    <row r="30" spans="1:5" x14ac:dyDescent="0.3">
      <c r="A30" s="4" t="s">
        <v>34</v>
      </c>
      <c r="B30">
        <v>700</v>
      </c>
      <c r="D30" s="5">
        <v>66722</v>
      </c>
      <c r="E30">
        <v>5000</v>
      </c>
    </row>
    <row r="31" spans="1:5" x14ac:dyDescent="0.3">
      <c r="A31" s="4" t="s">
        <v>43</v>
      </c>
      <c r="B31">
        <v>11300</v>
      </c>
      <c r="D31" s="5">
        <v>66752</v>
      </c>
      <c r="E31">
        <v>500</v>
      </c>
    </row>
    <row r="32" spans="1:5" x14ac:dyDescent="0.3">
      <c r="A32" s="4" t="s">
        <v>39</v>
      </c>
      <c r="B32">
        <v>3000</v>
      </c>
      <c r="D32" s="5">
        <v>66783</v>
      </c>
      <c r="E32">
        <v>2000</v>
      </c>
    </row>
    <row r="33" spans="1:5" x14ac:dyDescent="0.3">
      <c r="A33" s="4" t="s">
        <v>33</v>
      </c>
      <c r="B33">
        <v>13000</v>
      </c>
      <c r="D33" s="5">
        <v>66813</v>
      </c>
      <c r="E33">
        <v>2000</v>
      </c>
    </row>
    <row r="34" spans="1:5" x14ac:dyDescent="0.3">
      <c r="A34" s="4" t="s">
        <v>48</v>
      </c>
      <c r="B34">
        <v>2000</v>
      </c>
      <c r="D34" s="4" t="s">
        <v>55</v>
      </c>
      <c r="E34">
        <v>72620</v>
      </c>
    </row>
    <row r="35" spans="1:5" x14ac:dyDescent="0.3">
      <c r="A35" s="4" t="s">
        <v>35</v>
      </c>
      <c r="B35">
        <v>10000</v>
      </c>
    </row>
    <row r="36" spans="1:5" x14ac:dyDescent="0.3">
      <c r="A36" s="4" t="s">
        <v>38</v>
      </c>
      <c r="B36">
        <v>2000</v>
      </c>
    </row>
    <row r="37" spans="1:5" x14ac:dyDescent="0.3">
      <c r="A37" s="4" t="s">
        <v>37</v>
      </c>
      <c r="B37">
        <v>5500</v>
      </c>
    </row>
    <row r="38" spans="1:5" x14ac:dyDescent="0.3">
      <c r="A38" s="4" t="s">
        <v>47</v>
      </c>
      <c r="B38">
        <v>1000</v>
      </c>
    </row>
    <row r="39" spans="1:5" x14ac:dyDescent="0.3">
      <c r="A39" s="4" t="s">
        <v>36</v>
      </c>
      <c r="B39">
        <v>320</v>
      </c>
    </row>
    <row r="40" spans="1:5" x14ac:dyDescent="0.3">
      <c r="A40" s="4" t="s">
        <v>42</v>
      </c>
      <c r="B40">
        <v>4000</v>
      </c>
    </row>
    <row r="41" spans="1:5" x14ac:dyDescent="0.3">
      <c r="A41" s="4" t="s">
        <v>41</v>
      </c>
      <c r="B41">
        <v>5000</v>
      </c>
    </row>
    <row r="42" spans="1:5" x14ac:dyDescent="0.3">
      <c r="A42" s="4" t="s">
        <v>46</v>
      </c>
      <c r="B42">
        <v>1000</v>
      </c>
    </row>
    <row r="43" spans="1:5" x14ac:dyDescent="0.3">
      <c r="A43" s="4" t="s">
        <v>50</v>
      </c>
      <c r="B43">
        <v>1000</v>
      </c>
    </row>
    <row r="44" spans="1:5" x14ac:dyDescent="0.3">
      <c r="A44" s="4" t="s">
        <v>55</v>
      </c>
      <c r="B44">
        <v>72620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B4122-BD0A-49C5-B6DA-4743163ABB3D}">
  <dimension ref="D3:F3"/>
  <sheetViews>
    <sheetView tabSelected="1" workbookViewId="0">
      <selection activeCell="E3" sqref="E3"/>
    </sheetView>
  </sheetViews>
  <sheetFormatPr defaultRowHeight="14.4" x14ac:dyDescent="0.3"/>
  <cols>
    <col min="3" max="3" width="2.6640625" customWidth="1"/>
    <col min="4" max="4" width="8.88671875" hidden="1" customWidth="1"/>
    <col min="5" max="5" width="28.44140625" customWidth="1"/>
    <col min="6" max="6" width="70.77734375" customWidth="1"/>
  </cols>
  <sheetData>
    <row r="3" spans="5:6" ht="115.2" x14ac:dyDescent="0.3">
      <c r="E3" t="s">
        <v>60</v>
      </c>
      <c r="F3" s="8" t="s">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1B775-9F93-48EE-A3DF-37D227F9FA5B}">
  <dimension ref="A1:U46"/>
  <sheetViews>
    <sheetView topLeftCell="A11" workbookViewId="0">
      <selection sqref="A1:U46"/>
    </sheetView>
  </sheetViews>
  <sheetFormatPr defaultRowHeight="14.4" x14ac:dyDescent="0.3"/>
  <sheetData>
    <row r="1" spans="1:21" x14ac:dyDescent="0.3">
      <c r="A1" s="6"/>
      <c r="B1" s="6"/>
      <c r="C1" s="6"/>
      <c r="D1" s="6"/>
      <c r="E1" s="6"/>
      <c r="F1" s="6"/>
      <c r="G1" s="6"/>
      <c r="H1" s="6"/>
      <c r="I1" s="6"/>
      <c r="J1" s="6"/>
      <c r="K1" s="6"/>
      <c r="L1" s="6"/>
      <c r="M1" s="6"/>
      <c r="N1" s="6"/>
      <c r="O1" s="6"/>
      <c r="P1" s="6"/>
      <c r="Q1" s="6"/>
      <c r="R1" s="6"/>
      <c r="S1" s="6"/>
      <c r="T1" s="6"/>
      <c r="U1" s="6"/>
    </row>
    <row r="2" spans="1:21" x14ac:dyDescent="0.3">
      <c r="A2" s="6"/>
      <c r="B2" s="6"/>
      <c r="C2" s="6"/>
      <c r="D2" s="6"/>
      <c r="E2" s="6"/>
      <c r="F2" s="6"/>
      <c r="G2" s="6"/>
      <c r="H2" s="6"/>
      <c r="I2" s="6"/>
      <c r="J2" s="6"/>
      <c r="K2" s="6"/>
      <c r="L2" s="6"/>
      <c r="M2" s="6"/>
      <c r="N2" s="6"/>
      <c r="O2" s="6"/>
      <c r="P2" s="6"/>
      <c r="Q2" s="6"/>
      <c r="R2" s="6"/>
      <c r="S2" s="6"/>
      <c r="T2" s="6"/>
      <c r="U2" s="6"/>
    </row>
    <row r="3" spans="1:21" x14ac:dyDescent="0.3">
      <c r="A3" s="6"/>
      <c r="B3" s="6"/>
      <c r="C3" s="6"/>
      <c r="D3" s="6"/>
      <c r="E3" s="6"/>
      <c r="F3" s="6"/>
      <c r="G3" s="6"/>
      <c r="H3" s="6"/>
      <c r="I3" s="6"/>
      <c r="J3" s="6"/>
      <c r="K3" s="6"/>
      <c r="L3" s="6"/>
      <c r="M3" s="6"/>
      <c r="N3" s="6"/>
      <c r="O3" s="6"/>
      <c r="P3" s="6"/>
      <c r="Q3" s="6"/>
      <c r="R3" s="6"/>
      <c r="S3" s="6"/>
      <c r="T3" s="6"/>
      <c r="U3" s="6"/>
    </row>
    <row r="4" spans="1:21" x14ac:dyDescent="0.3">
      <c r="A4" s="6"/>
      <c r="B4" s="6"/>
      <c r="C4" s="6"/>
      <c r="D4" s="6"/>
      <c r="E4" s="6"/>
      <c r="F4" s="6"/>
      <c r="G4" s="6"/>
      <c r="H4" s="6"/>
      <c r="I4" s="6"/>
      <c r="J4" s="6"/>
      <c r="K4" s="6"/>
      <c r="L4" s="6"/>
      <c r="M4" s="6"/>
      <c r="N4" s="6"/>
      <c r="O4" s="6"/>
      <c r="P4" s="6"/>
      <c r="Q4" s="6"/>
      <c r="R4" s="6"/>
      <c r="S4" s="6"/>
      <c r="T4" s="6"/>
      <c r="U4" s="6"/>
    </row>
    <row r="5" spans="1:21" x14ac:dyDescent="0.3">
      <c r="A5" s="6"/>
      <c r="B5" s="6"/>
      <c r="C5" s="6"/>
      <c r="D5" s="6"/>
      <c r="E5" s="6"/>
      <c r="F5" s="6"/>
      <c r="G5" s="6"/>
      <c r="H5" s="6"/>
      <c r="I5" s="6"/>
      <c r="J5" s="6"/>
      <c r="K5" s="6"/>
      <c r="L5" s="6"/>
      <c r="M5" s="6"/>
      <c r="N5" s="6"/>
      <c r="O5" s="6"/>
      <c r="P5" s="6"/>
      <c r="Q5" s="6"/>
      <c r="R5" s="6"/>
      <c r="S5" s="6"/>
      <c r="T5" s="6"/>
      <c r="U5" s="6"/>
    </row>
    <row r="6" spans="1:21" x14ac:dyDescent="0.3">
      <c r="A6" s="6"/>
      <c r="B6" s="6"/>
      <c r="C6" s="6"/>
      <c r="D6" s="6"/>
      <c r="E6" s="6"/>
      <c r="F6" s="6"/>
      <c r="G6" s="6"/>
      <c r="H6" s="6"/>
      <c r="I6" s="6"/>
      <c r="J6" s="6"/>
      <c r="K6" s="6"/>
      <c r="L6" s="6"/>
      <c r="M6" s="6"/>
      <c r="N6" s="6"/>
      <c r="O6" s="6"/>
      <c r="P6" s="6"/>
      <c r="Q6" s="6"/>
      <c r="R6" s="6"/>
      <c r="S6" s="6"/>
      <c r="T6" s="6"/>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x14ac:dyDescent="0.3">
      <c r="A18" s="6"/>
      <c r="B18" s="6"/>
      <c r="C18" s="6"/>
      <c r="D18" s="6"/>
      <c r="E18" s="6"/>
      <c r="F18" s="6"/>
      <c r="G18" s="6"/>
      <c r="H18" s="6"/>
      <c r="I18" s="6"/>
      <c r="J18" s="6"/>
      <c r="K18" s="6"/>
      <c r="L18" s="6"/>
      <c r="M18" s="6"/>
      <c r="N18" s="6"/>
      <c r="O18" s="6"/>
      <c r="P18" s="6"/>
      <c r="Q18" s="6"/>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row r="22" spans="1:21" x14ac:dyDescent="0.3">
      <c r="A22" s="6"/>
      <c r="B22" s="6"/>
      <c r="C22" s="6"/>
      <c r="D22" s="6"/>
      <c r="E22" s="6"/>
      <c r="F22" s="6"/>
      <c r="G22" s="6"/>
      <c r="H22" s="6"/>
      <c r="I22" s="6"/>
      <c r="J22" s="6"/>
      <c r="K22" s="6"/>
      <c r="L22" s="6"/>
      <c r="M22" s="6"/>
      <c r="N22" s="6"/>
      <c r="O22" s="6"/>
      <c r="P22" s="6"/>
      <c r="Q22" s="6"/>
      <c r="R22" s="6"/>
      <c r="S22" s="6"/>
      <c r="T22" s="6"/>
      <c r="U22" s="6"/>
    </row>
    <row r="23" spans="1:21" x14ac:dyDescent="0.3">
      <c r="A23" s="6"/>
      <c r="B23" s="6"/>
      <c r="C23" s="6"/>
      <c r="D23" s="6"/>
      <c r="E23" s="6"/>
      <c r="F23" s="6"/>
      <c r="G23" s="6"/>
      <c r="H23" s="6"/>
      <c r="I23" s="6"/>
      <c r="J23" s="6"/>
      <c r="K23" s="6"/>
      <c r="L23" s="6"/>
      <c r="M23" s="6"/>
      <c r="N23" s="6"/>
      <c r="O23" s="6"/>
      <c r="P23" s="6"/>
      <c r="Q23" s="6"/>
      <c r="R23" s="6"/>
      <c r="S23" s="6"/>
      <c r="T23" s="6"/>
      <c r="U23" s="6"/>
    </row>
    <row r="24" spans="1:21" x14ac:dyDescent="0.3">
      <c r="A24" s="6"/>
      <c r="B24" s="6"/>
      <c r="C24" s="6"/>
      <c r="D24" s="6"/>
      <c r="E24" s="6"/>
      <c r="F24" s="6"/>
      <c r="G24" s="6"/>
      <c r="H24" s="6"/>
      <c r="I24" s="6"/>
      <c r="J24" s="6"/>
      <c r="K24" s="6"/>
      <c r="L24" s="6"/>
      <c r="M24" s="6"/>
      <c r="N24" s="6"/>
      <c r="O24" s="6"/>
      <c r="P24" s="6"/>
      <c r="Q24" s="6"/>
      <c r="R24" s="6"/>
      <c r="S24" s="6"/>
      <c r="T24" s="6"/>
      <c r="U24" s="6"/>
    </row>
    <row r="25" spans="1:21" x14ac:dyDescent="0.3">
      <c r="A25" s="6"/>
      <c r="B25" s="6"/>
      <c r="C25" s="6"/>
      <c r="D25" s="6"/>
      <c r="E25" s="6"/>
      <c r="F25" s="6"/>
      <c r="G25" s="6"/>
      <c r="H25" s="6"/>
      <c r="I25" s="6"/>
      <c r="J25" s="6"/>
      <c r="K25" s="6"/>
      <c r="L25" s="6"/>
      <c r="M25" s="6"/>
      <c r="N25" s="6"/>
      <c r="O25" s="6"/>
      <c r="P25" s="6"/>
      <c r="Q25" s="6"/>
      <c r="R25" s="6"/>
      <c r="S25" s="6"/>
      <c r="T25" s="6"/>
      <c r="U25" s="6"/>
    </row>
    <row r="26" spans="1:21" x14ac:dyDescent="0.3">
      <c r="A26" s="6"/>
      <c r="B26" s="6"/>
      <c r="C26" s="6"/>
      <c r="D26" s="6"/>
      <c r="E26" s="6"/>
      <c r="F26" s="6"/>
      <c r="G26" s="6"/>
      <c r="H26" s="6"/>
      <c r="I26" s="6"/>
      <c r="J26" s="6"/>
      <c r="K26" s="6"/>
      <c r="L26" s="6"/>
      <c r="M26" s="6"/>
      <c r="N26" s="6"/>
      <c r="O26" s="6"/>
      <c r="P26" s="6"/>
      <c r="Q26" s="6"/>
      <c r="R26" s="6"/>
      <c r="S26" s="6"/>
      <c r="T26" s="6"/>
      <c r="U26" s="6"/>
    </row>
    <row r="27" spans="1:21" x14ac:dyDescent="0.3">
      <c r="A27" s="6"/>
      <c r="B27" s="6"/>
      <c r="C27" s="6"/>
      <c r="D27" s="6"/>
      <c r="E27" s="6"/>
      <c r="F27" s="6"/>
      <c r="G27" s="6"/>
      <c r="H27" s="6"/>
      <c r="I27" s="6"/>
      <c r="J27" s="6"/>
      <c r="K27" s="6"/>
      <c r="L27" s="6"/>
      <c r="M27" s="6"/>
      <c r="N27" s="6"/>
      <c r="O27" s="6"/>
      <c r="P27" s="6"/>
      <c r="Q27" s="6"/>
      <c r="R27" s="6"/>
      <c r="S27" s="6"/>
      <c r="T27" s="6"/>
      <c r="U27" s="6"/>
    </row>
    <row r="28" spans="1:21" x14ac:dyDescent="0.3">
      <c r="A28" s="6"/>
      <c r="B28" s="6"/>
      <c r="C28" s="6"/>
      <c r="D28" s="6"/>
      <c r="E28" s="6"/>
      <c r="F28" s="6"/>
      <c r="G28" s="6"/>
      <c r="H28" s="6"/>
      <c r="I28" s="6"/>
      <c r="J28" s="6"/>
      <c r="K28" s="6"/>
      <c r="L28" s="6"/>
      <c r="M28" s="6"/>
      <c r="N28" s="6"/>
      <c r="O28" s="6"/>
      <c r="P28" s="6"/>
      <c r="Q28" s="6"/>
      <c r="R28" s="6"/>
      <c r="S28" s="6"/>
      <c r="T28" s="6"/>
      <c r="U28" s="6"/>
    </row>
    <row r="29" spans="1:21" x14ac:dyDescent="0.3">
      <c r="A29" s="6"/>
      <c r="B29" s="6"/>
      <c r="C29" s="6"/>
      <c r="D29" s="6"/>
      <c r="E29" s="6"/>
      <c r="F29" s="6"/>
      <c r="G29" s="6"/>
      <c r="H29" s="6"/>
      <c r="I29" s="6"/>
      <c r="J29" s="6"/>
      <c r="K29" s="6"/>
      <c r="L29" s="6"/>
      <c r="M29" s="6"/>
      <c r="N29" s="6"/>
      <c r="O29" s="6"/>
      <c r="P29" s="6"/>
      <c r="Q29" s="6"/>
      <c r="R29" s="6"/>
      <c r="S29" s="6"/>
      <c r="T29" s="6"/>
      <c r="U29" s="6"/>
    </row>
    <row r="30" spans="1:21" x14ac:dyDescent="0.3">
      <c r="A30" s="6"/>
      <c r="B30" s="6"/>
      <c r="C30" s="6"/>
      <c r="D30" s="6"/>
      <c r="E30" s="6"/>
      <c r="F30" s="6"/>
      <c r="G30" s="6"/>
      <c r="H30" s="6"/>
      <c r="I30" s="6"/>
      <c r="J30" s="6"/>
      <c r="K30" s="6"/>
      <c r="L30" s="6"/>
      <c r="M30" s="6"/>
      <c r="N30" s="6"/>
      <c r="O30" s="6"/>
      <c r="P30" s="6"/>
      <c r="Q30" s="6"/>
      <c r="R30" s="6"/>
      <c r="S30" s="6"/>
      <c r="T30" s="6"/>
      <c r="U30" s="6"/>
    </row>
    <row r="31" spans="1:21" x14ac:dyDescent="0.3">
      <c r="A31" s="6"/>
      <c r="B31" s="6"/>
      <c r="C31" s="6"/>
      <c r="D31" s="6"/>
      <c r="E31" s="6"/>
      <c r="F31" s="6"/>
      <c r="G31" s="6"/>
      <c r="H31" s="6"/>
      <c r="I31" s="6"/>
      <c r="J31" s="6"/>
      <c r="K31" s="6"/>
      <c r="L31" s="6"/>
      <c r="M31" s="6"/>
      <c r="N31" s="6"/>
      <c r="O31" s="6"/>
      <c r="P31" s="6"/>
      <c r="Q31" s="6"/>
      <c r="R31" s="6"/>
      <c r="S31" s="6"/>
      <c r="T31" s="6"/>
      <c r="U31" s="6"/>
    </row>
    <row r="32" spans="1:21" x14ac:dyDescent="0.3">
      <c r="A32" s="6"/>
      <c r="B32" s="6"/>
      <c r="C32" s="6"/>
      <c r="D32" s="6"/>
      <c r="E32" s="6"/>
      <c r="F32" s="6"/>
      <c r="G32" s="6"/>
      <c r="H32" s="6"/>
      <c r="I32" s="6"/>
      <c r="J32" s="6"/>
      <c r="K32" s="6"/>
      <c r="L32" s="6"/>
      <c r="M32" s="6"/>
      <c r="N32" s="6"/>
      <c r="O32" s="6"/>
      <c r="P32" s="6"/>
      <c r="Q32" s="6"/>
      <c r="R32" s="6"/>
      <c r="S32" s="6"/>
      <c r="T32" s="6"/>
      <c r="U32" s="6"/>
    </row>
    <row r="33" spans="1:21" x14ac:dyDescent="0.3">
      <c r="A33" s="6"/>
      <c r="B33" s="6"/>
      <c r="C33" s="6"/>
      <c r="D33" s="6"/>
      <c r="E33" s="6"/>
      <c r="F33" s="6"/>
      <c r="G33" s="6"/>
      <c r="H33" s="6"/>
      <c r="I33" s="6"/>
      <c r="J33" s="6"/>
      <c r="K33" s="6"/>
      <c r="L33" s="6"/>
      <c r="M33" s="6"/>
      <c r="N33" s="6"/>
      <c r="O33" s="6"/>
      <c r="P33" s="6"/>
      <c r="Q33" s="6"/>
      <c r="R33" s="6"/>
      <c r="S33" s="6"/>
      <c r="T33" s="6"/>
      <c r="U33" s="6"/>
    </row>
    <row r="34" spans="1:21" x14ac:dyDescent="0.3">
      <c r="A34" s="6"/>
      <c r="B34" s="6"/>
      <c r="C34" s="6"/>
      <c r="D34" s="6"/>
      <c r="E34" s="6"/>
      <c r="F34" s="6"/>
      <c r="G34" s="6"/>
      <c r="H34" s="6"/>
      <c r="I34" s="6"/>
      <c r="J34" s="6"/>
      <c r="K34" s="6"/>
      <c r="L34" s="6"/>
      <c r="M34" s="6"/>
      <c r="N34" s="6"/>
      <c r="O34" s="6"/>
      <c r="P34" s="6"/>
      <c r="Q34" s="6"/>
      <c r="R34" s="6"/>
      <c r="S34" s="6"/>
      <c r="T34" s="6"/>
      <c r="U34" s="6"/>
    </row>
    <row r="35" spans="1:21" x14ac:dyDescent="0.3">
      <c r="A35" s="6"/>
      <c r="B35" s="6"/>
      <c r="C35" s="6"/>
      <c r="D35" s="6"/>
      <c r="E35" s="6"/>
      <c r="F35" s="6"/>
      <c r="G35" s="6"/>
      <c r="H35" s="6"/>
      <c r="I35" s="6"/>
      <c r="J35" s="6"/>
      <c r="K35" s="6"/>
      <c r="L35" s="6"/>
      <c r="M35" s="6"/>
      <c r="N35" s="6"/>
      <c r="O35" s="6"/>
      <c r="P35" s="6"/>
      <c r="Q35" s="6"/>
      <c r="R35" s="6"/>
      <c r="S35" s="6"/>
      <c r="T35" s="6"/>
      <c r="U35" s="6"/>
    </row>
    <row r="36" spans="1:21" x14ac:dyDescent="0.3">
      <c r="A36" s="6"/>
      <c r="B36" s="6"/>
      <c r="C36" s="6"/>
      <c r="D36" s="6"/>
      <c r="E36" s="6"/>
      <c r="F36" s="6"/>
      <c r="G36" s="6"/>
      <c r="H36" s="6"/>
      <c r="I36" s="6"/>
      <c r="J36" s="6"/>
      <c r="K36" s="6"/>
      <c r="L36" s="6"/>
      <c r="M36" s="6"/>
      <c r="N36" s="6"/>
      <c r="O36" s="6"/>
      <c r="P36" s="6"/>
      <c r="Q36" s="6"/>
      <c r="R36" s="6"/>
      <c r="S36" s="6"/>
      <c r="T36" s="6"/>
      <c r="U36" s="6"/>
    </row>
    <row r="37" spans="1:21" x14ac:dyDescent="0.3">
      <c r="A37" s="6"/>
      <c r="B37" s="6"/>
      <c r="C37" s="6"/>
      <c r="D37" s="6"/>
      <c r="E37" s="6"/>
      <c r="F37" s="6"/>
      <c r="G37" s="6"/>
      <c r="H37" s="6"/>
      <c r="I37" s="6"/>
      <c r="J37" s="6"/>
      <c r="K37" s="6"/>
      <c r="L37" s="6"/>
      <c r="M37" s="6"/>
      <c r="N37" s="6"/>
      <c r="O37" s="6"/>
      <c r="P37" s="6"/>
      <c r="Q37" s="6"/>
      <c r="R37" s="6"/>
      <c r="S37" s="6"/>
      <c r="T37" s="6"/>
      <c r="U37" s="6"/>
    </row>
    <row r="38" spans="1:21" x14ac:dyDescent="0.3">
      <c r="A38" s="6"/>
      <c r="B38" s="6"/>
      <c r="C38" s="6"/>
      <c r="D38" s="6"/>
      <c r="E38" s="6"/>
      <c r="F38" s="6"/>
      <c r="G38" s="6"/>
      <c r="H38" s="6"/>
      <c r="I38" s="6"/>
      <c r="J38" s="6"/>
      <c r="K38" s="6"/>
      <c r="L38" s="6"/>
      <c r="M38" s="6"/>
      <c r="N38" s="6"/>
      <c r="O38" s="6"/>
      <c r="P38" s="6"/>
      <c r="Q38" s="6"/>
      <c r="R38" s="6"/>
      <c r="S38" s="6"/>
      <c r="T38" s="6"/>
      <c r="U38" s="6"/>
    </row>
    <row r="39" spans="1:21" x14ac:dyDescent="0.3">
      <c r="A39" s="6"/>
      <c r="B39" s="6"/>
      <c r="C39" s="6"/>
      <c r="D39" s="6"/>
      <c r="E39" s="6"/>
      <c r="F39" s="6"/>
      <c r="G39" s="6"/>
      <c r="H39" s="6"/>
      <c r="I39" s="6"/>
      <c r="J39" s="6"/>
      <c r="K39" s="6"/>
      <c r="L39" s="6"/>
      <c r="M39" s="6"/>
      <c r="N39" s="6"/>
      <c r="O39" s="6"/>
      <c r="P39" s="6"/>
      <c r="Q39" s="6"/>
      <c r="R39" s="6"/>
      <c r="S39" s="6"/>
      <c r="T39" s="6"/>
      <c r="U39" s="6"/>
    </row>
    <row r="40" spans="1:21" x14ac:dyDescent="0.3">
      <c r="A40" s="6"/>
      <c r="B40" s="6"/>
      <c r="C40" s="6"/>
      <c r="D40" s="6"/>
      <c r="E40" s="6"/>
      <c r="F40" s="6"/>
      <c r="G40" s="6"/>
      <c r="H40" s="6"/>
      <c r="I40" s="6"/>
      <c r="J40" s="6"/>
      <c r="K40" s="6"/>
      <c r="L40" s="6"/>
      <c r="M40" s="6"/>
      <c r="N40" s="6"/>
      <c r="O40" s="6"/>
      <c r="P40" s="6"/>
      <c r="Q40" s="6"/>
      <c r="R40" s="6"/>
      <c r="S40" s="6"/>
      <c r="T40" s="6"/>
      <c r="U40" s="6"/>
    </row>
    <row r="41" spans="1:21" x14ac:dyDescent="0.3">
      <c r="A41" s="6"/>
      <c r="B41" s="6"/>
      <c r="C41" s="6"/>
      <c r="D41" s="6"/>
      <c r="E41" s="6"/>
      <c r="F41" s="6"/>
      <c r="G41" s="6"/>
      <c r="H41" s="6"/>
      <c r="I41" s="6"/>
      <c r="J41" s="6"/>
      <c r="K41" s="6"/>
      <c r="L41" s="6"/>
      <c r="M41" s="6"/>
      <c r="N41" s="6"/>
      <c r="O41" s="6"/>
      <c r="P41" s="6"/>
      <c r="Q41" s="6"/>
      <c r="R41" s="6"/>
      <c r="S41" s="6"/>
      <c r="T41" s="6"/>
      <c r="U41" s="6"/>
    </row>
    <row r="42" spans="1:21" x14ac:dyDescent="0.3">
      <c r="A42" s="6"/>
      <c r="B42" s="6"/>
      <c r="C42" s="6"/>
      <c r="D42" s="6"/>
      <c r="E42" s="6"/>
      <c r="F42" s="6"/>
      <c r="G42" s="6"/>
      <c r="H42" s="6"/>
      <c r="I42" s="6"/>
      <c r="J42" s="6"/>
      <c r="K42" s="6"/>
      <c r="L42" s="6"/>
      <c r="M42" s="6"/>
      <c r="N42" s="6"/>
      <c r="O42" s="6"/>
      <c r="P42" s="6"/>
      <c r="Q42" s="6"/>
      <c r="R42" s="6"/>
      <c r="S42" s="6"/>
      <c r="T42" s="6"/>
      <c r="U42" s="6"/>
    </row>
    <row r="43" spans="1:21" x14ac:dyDescent="0.3">
      <c r="A43" s="6"/>
      <c r="B43" s="6"/>
      <c r="C43" s="6"/>
      <c r="D43" s="6"/>
      <c r="E43" s="6"/>
      <c r="F43" s="6"/>
      <c r="G43" s="6"/>
      <c r="H43" s="6"/>
      <c r="I43" s="6"/>
      <c r="J43" s="6"/>
      <c r="K43" s="6"/>
      <c r="L43" s="6"/>
      <c r="M43" s="6"/>
      <c r="N43" s="6"/>
      <c r="O43" s="6"/>
      <c r="P43" s="6"/>
      <c r="Q43" s="6"/>
      <c r="R43" s="6"/>
      <c r="S43" s="6"/>
      <c r="T43" s="6"/>
      <c r="U43" s="6"/>
    </row>
    <row r="44" spans="1:21" x14ac:dyDescent="0.3">
      <c r="A44" s="6"/>
      <c r="B44" s="6"/>
      <c r="C44" s="6"/>
      <c r="D44" s="6"/>
      <c r="E44" s="6"/>
      <c r="F44" s="6"/>
      <c r="G44" s="6"/>
      <c r="H44" s="6"/>
      <c r="I44" s="6"/>
      <c r="J44" s="6"/>
      <c r="K44" s="6"/>
      <c r="L44" s="6"/>
      <c r="M44" s="6"/>
      <c r="N44" s="6"/>
      <c r="O44" s="6"/>
      <c r="P44" s="6"/>
      <c r="Q44" s="6"/>
      <c r="R44" s="6"/>
      <c r="S44" s="6"/>
      <c r="T44" s="6"/>
      <c r="U44" s="6"/>
    </row>
    <row r="45" spans="1:21" x14ac:dyDescent="0.3">
      <c r="A45" s="6"/>
      <c r="B45" s="6"/>
      <c r="C45" s="6"/>
      <c r="D45" s="6"/>
      <c r="E45" s="6"/>
      <c r="F45" s="6"/>
      <c r="G45" s="6"/>
      <c r="H45" s="6"/>
      <c r="I45" s="6"/>
      <c r="J45" s="6"/>
      <c r="K45" s="6"/>
      <c r="L45" s="6"/>
      <c r="M45" s="6"/>
      <c r="N45" s="6"/>
      <c r="O45" s="6"/>
      <c r="P45" s="6"/>
      <c r="Q45" s="6"/>
      <c r="R45" s="6"/>
      <c r="S45" s="6"/>
      <c r="T45" s="6"/>
      <c r="U45" s="6"/>
    </row>
    <row r="46" spans="1:21" x14ac:dyDescent="0.3">
      <c r="A46" s="6"/>
      <c r="B46" s="6"/>
      <c r="C46" s="6"/>
      <c r="D46" s="6"/>
      <c r="E46" s="6"/>
      <c r="F46" s="6"/>
      <c r="G46" s="6"/>
      <c r="H46" s="6"/>
      <c r="I46" s="6"/>
      <c r="J46" s="6"/>
      <c r="K46" s="6"/>
      <c r="L46" s="6"/>
      <c r="M46" s="6"/>
      <c r="N46" s="6"/>
      <c r="O46" s="6"/>
      <c r="P46" s="6"/>
      <c r="Q46" s="6"/>
      <c r="R46" s="6"/>
      <c r="S46" s="6"/>
      <c r="T46" s="6"/>
      <c r="U46" s="6"/>
    </row>
  </sheetData>
  <mergeCells count="1">
    <mergeCell ref="A1:U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prabesh magar</dc:creator>
  <cp:lastModifiedBy>prabesh magar</cp:lastModifiedBy>
  <dcterms:created xsi:type="dcterms:W3CDTF">2025-07-24T12:39:42Z</dcterms:created>
  <dcterms:modified xsi:type="dcterms:W3CDTF">2025-09-17T05:54:44Z</dcterms:modified>
</cp:coreProperties>
</file>